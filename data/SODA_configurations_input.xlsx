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bari2_purdue_edu/Documents/Microsoft Teams Chat Files/"/>
    </mc:Choice>
  </mc:AlternateContent>
  <xr:revisionPtr revIDLastSave="70" documentId="13_ncr:1_{4FFF394C-2895-42BD-A049-D8C521793639}" xr6:coauthVersionLast="47" xr6:coauthVersionMax="47" xr10:uidLastSave="{04BB81F1-CAB6-42CA-A780-200848324A3E}"/>
  <bookViews>
    <workbookView xWindow="-120" yWindow="-120" windowWidth="29040" windowHeight="15720" tabRatio="691" activeTab="7" xr2:uid="{00000000-000D-0000-FFFF-FFFF00000000}"/>
  </bookViews>
  <sheets>
    <sheet name="Rough Notes" sheetId="10" r:id="rId1"/>
    <sheet name="Default Network Metrics" sheetId="9" r:id="rId2"/>
    <sheet name="Event Register" sheetId="8" r:id="rId3"/>
    <sheet name="n" sheetId="1" r:id="rId4"/>
    <sheet name="SOD" sheetId="2" r:id="rId5"/>
    <sheet name="COD" sheetId="3" r:id="rId6"/>
    <sheet name="IOD" sheetId="4" r:id="rId7"/>
    <sheet name="SE" sheetId="5" r:id="rId8"/>
    <sheet name="labels" sheetId="6" r:id="rId9"/>
    <sheet name="README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" l="1"/>
  <c r="C16" i="5"/>
  <c r="C13" i="5"/>
  <c r="B24" i="5"/>
  <c r="B16" i="5"/>
  <c r="B13" i="5"/>
  <c r="G76" i="8"/>
  <c r="G77" i="8"/>
  <c r="G75" i="8"/>
  <c r="G73" i="8"/>
  <c r="I73" i="8" s="1"/>
  <c r="H73" i="8" s="1"/>
  <c r="G74" i="8"/>
  <c r="G72" i="8"/>
  <c r="H70" i="8"/>
  <c r="A16" i="5" s="1"/>
  <c r="H71" i="8"/>
  <c r="A24" i="5" s="1"/>
  <c r="H69" i="8"/>
  <c r="A13" i="5" s="1"/>
  <c r="I74" i="8"/>
  <c r="H74" i="8" s="1"/>
  <c r="J68" i="8"/>
  <c r="I66" i="8"/>
  <c r="H66" i="8" s="1"/>
  <c r="C1" i="5" s="1"/>
  <c r="G67" i="8"/>
  <c r="I67" i="8" s="1"/>
  <c r="H67" i="8" s="1"/>
  <c r="C5" i="5" s="1"/>
  <c r="G66" i="8"/>
  <c r="G63" i="8"/>
  <c r="I63" i="8" s="1"/>
  <c r="H63" i="8" s="1"/>
  <c r="G62" i="8"/>
  <c r="I62" i="8" s="1"/>
  <c r="G61" i="8"/>
  <c r="I61" i="8" s="1"/>
  <c r="H61" i="8" s="1"/>
  <c r="G60" i="8"/>
  <c r="G59" i="8"/>
  <c r="I59" i="8" s="1"/>
  <c r="H59" i="8" s="1"/>
  <c r="G58" i="8"/>
  <c r="I58" i="8" s="1"/>
  <c r="H58" i="8" s="1"/>
  <c r="G57" i="8"/>
  <c r="G56" i="8"/>
  <c r="G55" i="8"/>
  <c r="G54" i="8"/>
  <c r="G41" i="8"/>
  <c r="I41" i="8" s="1"/>
  <c r="H41" i="8" s="1"/>
  <c r="I56" i="8"/>
  <c r="I55" i="8"/>
  <c r="I54" i="8"/>
  <c r="I57" i="8"/>
  <c r="H57" i="8" s="1"/>
  <c r="G53" i="8"/>
  <c r="G40" i="8"/>
  <c r="I40" i="8" s="1"/>
  <c r="H40" i="8" s="1"/>
  <c r="I53" i="8"/>
  <c r="H53" i="8" s="1"/>
  <c r="G52" i="8"/>
  <c r="G39" i="8"/>
  <c r="I39" i="8" s="1"/>
  <c r="H39" i="8" s="1"/>
  <c r="G51" i="8"/>
  <c r="G38" i="8"/>
  <c r="I38" i="8" s="1"/>
  <c r="H38" i="8" s="1"/>
  <c r="G65" i="8"/>
  <c r="I65" i="8" s="1"/>
  <c r="G46" i="8"/>
  <c r="I46" i="8" s="1"/>
  <c r="H46" i="8" s="1"/>
  <c r="G64" i="8"/>
  <c r="I64" i="8" s="1"/>
  <c r="G45" i="8"/>
  <c r="I45" i="8" s="1"/>
  <c r="H45" i="8" s="1"/>
  <c r="G44" i="8"/>
  <c r="I44" i="8" s="1"/>
  <c r="H44" i="8" s="1"/>
  <c r="I60" i="8"/>
  <c r="H60" i="8" s="1"/>
  <c r="C15" i="2" s="1"/>
  <c r="G49" i="8"/>
  <c r="I49" i="8" s="1"/>
  <c r="H49" i="8" s="1"/>
  <c r="X4" i="4" s="1"/>
  <c r="G48" i="8"/>
  <c r="I48" i="8" s="1"/>
  <c r="H48" i="8" s="1"/>
  <c r="X4" i="3" s="1"/>
  <c r="G43" i="8"/>
  <c r="I43" i="8" s="1"/>
  <c r="H43" i="8" s="1"/>
  <c r="G42" i="8"/>
  <c r="I42" i="8" s="1"/>
  <c r="H42" i="8" s="1"/>
  <c r="G47" i="8"/>
  <c r="I47" i="8" s="1"/>
  <c r="H47" i="8" s="1"/>
  <c r="X4" i="2" s="1"/>
  <c r="G36" i="8"/>
  <c r="I36" i="8" s="1"/>
  <c r="H36" i="8" s="1"/>
  <c r="G35" i="8"/>
  <c r="I35" i="8" s="1"/>
  <c r="H35" i="8" s="1"/>
  <c r="G34" i="8"/>
  <c r="I34" i="8" s="1"/>
  <c r="H34" i="8" s="1"/>
  <c r="G32" i="8"/>
  <c r="I32" i="8" s="1"/>
  <c r="H32" i="8" s="1"/>
  <c r="G33" i="8"/>
  <c r="I33" i="8" s="1"/>
  <c r="H33" i="8" s="1"/>
  <c r="G31" i="8"/>
  <c r="I31" i="8" s="1"/>
  <c r="H31" i="8" s="1"/>
  <c r="G28" i="8"/>
  <c r="I28" i="8" s="1"/>
  <c r="H28" i="8" s="1"/>
  <c r="G30" i="8"/>
  <c r="I30" i="8" s="1"/>
  <c r="H30" i="8" s="1"/>
  <c r="I16" i="4" s="1"/>
  <c r="G29" i="8"/>
  <c r="I29" i="8" s="1"/>
  <c r="H29" i="8" s="1"/>
  <c r="I16" i="3" s="1"/>
  <c r="G27" i="8"/>
  <c r="I27" i="8" s="1"/>
  <c r="H27" i="8" s="1"/>
  <c r="G26" i="8"/>
  <c r="I26" i="8" s="1"/>
  <c r="H26" i="8" s="1"/>
  <c r="G24" i="8"/>
  <c r="I24" i="8" s="1"/>
  <c r="H24" i="8" s="1"/>
  <c r="G23" i="8"/>
  <c r="I23" i="8" s="1"/>
  <c r="H23" i="8" s="1"/>
  <c r="G25" i="8"/>
  <c r="I25" i="8" s="1"/>
  <c r="H25" i="8" s="1"/>
  <c r="G22" i="8"/>
  <c r="I22" i="8" s="1"/>
  <c r="H22" i="8" s="1"/>
  <c r="G21" i="8"/>
  <c r="G19" i="8"/>
  <c r="I19" i="8" s="1"/>
  <c r="H19" i="8" s="1"/>
  <c r="G20" i="8"/>
  <c r="I20" i="8" s="1"/>
  <c r="H20" i="8" s="1"/>
  <c r="G18" i="8"/>
  <c r="I18" i="8" s="1"/>
  <c r="H18" i="8" s="1"/>
  <c r="G17" i="8"/>
  <c r="I17" i="8" s="1"/>
  <c r="H17" i="8" s="1"/>
  <c r="G16" i="8"/>
  <c r="I16" i="8" s="1"/>
  <c r="H16" i="8" s="1"/>
  <c r="G15" i="8"/>
  <c r="I15" i="8" s="1"/>
  <c r="H15" i="8" s="1"/>
  <c r="G14" i="8"/>
  <c r="I14" i="8" s="1"/>
  <c r="H14" i="8" s="1"/>
  <c r="G13" i="8"/>
  <c r="I13" i="8" s="1"/>
  <c r="H13" i="8" s="1"/>
  <c r="G12" i="8"/>
  <c r="I12" i="8" s="1"/>
  <c r="H12" i="8" s="1"/>
  <c r="G11" i="8"/>
  <c r="I11" i="8" s="1"/>
  <c r="H11" i="8" s="1"/>
  <c r="G10" i="8"/>
  <c r="I10" i="8" s="1"/>
  <c r="H10" i="8" s="1"/>
  <c r="G7" i="8"/>
  <c r="G8" i="8"/>
  <c r="G9" i="8"/>
  <c r="G6" i="8"/>
  <c r="I6" i="8" s="1"/>
  <c r="H6" i="8" s="1"/>
  <c r="G68" i="8" s="1"/>
  <c r="G2" i="8"/>
  <c r="G5" i="8"/>
  <c r="I5" i="8" s="1"/>
  <c r="H5" i="8" s="1"/>
  <c r="G3" i="8"/>
  <c r="G4" i="8"/>
  <c r="I4" i="8" s="1"/>
  <c r="I8" i="2"/>
  <c r="X3" i="2"/>
  <c r="I9" i="2"/>
  <c r="M11" i="2"/>
  <c r="N11" i="2"/>
  <c r="O11" i="2"/>
  <c r="P11" i="2"/>
  <c r="Q11" i="2"/>
  <c r="R11" i="2"/>
  <c r="S11" i="2"/>
  <c r="T11" i="2"/>
  <c r="Q12" i="2"/>
  <c r="R12" i="2"/>
  <c r="S12" i="2"/>
  <c r="T12" i="2"/>
  <c r="U12" i="2"/>
  <c r="V12" i="2"/>
  <c r="W12" i="2"/>
  <c r="K13" i="2"/>
  <c r="L13" i="2"/>
  <c r="K17" i="2"/>
  <c r="L17" i="2"/>
  <c r="K19" i="2"/>
  <c r="L19" i="2"/>
  <c r="K20" i="2"/>
  <c r="L20" i="2"/>
  <c r="K21" i="2"/>
  <c r="L21" i="2"/>
  <c r="U9" i="3"/>
  <c r="W9" i="3"/>
  <c r="X9" i="3"/>
  <c r="N10" i="3"/>
  <c r="P10" i="3"/>
  <c r="U10" i="3"/>
  <c r="V10" i="3"/>
  <c r="X10" i="3"/>
  <c r="M11" i="3"/>
  <c r="N11" i="3"/>
  <c r="O11" i="3"/>
  <c r="P11" i="3"/>
  <c r="Q11" i="3"/>
  <c r="R11" i="3"/>
  <c r="S11" i="3"/>
  <c r="T11" i="3"/>
  <c r="V11" i="3"/>
  <c r="Q12" i="3"/>
  <c r="R12" i="3"/>
  <c r="V12" i="3"/>
  <c r="W12" i="3"/>
  <c r="I13" i="3"/>
  <c r="J13" i="3"/>
  <c r="I15" i="3"/>
  <c r="J15" i="3"/>
  <c r="L15" i="3"/>
  <c r="J16" i="3"/>
  <c r="K16" i="3"/>
  <c r="L16" i="3"/>
  <c r="J17" i="3"/>
  <c r="K17" i="3"/>
  <c r="K19" i="3"/>
  <c r="L19" i="3"/>
  <c r="I20" i="3"/>
  <c r="J20" i="3"/>
  <c r="K20" i="3"/>
  <c r="L20" i="3"/>
  <c r="I21" i="3"/>
  <c r="J21" i="3"/>
  <c r="K21" i="3"/>
  <c r="L21" i="3"/>
  <c r="I22" i="3"/>
  <c r="L24" i="3"/>
  <c r="K24" i="3"/>
  <c r="L23" i="3"/>
  <c r="K23" i="3"/>
  <c r="L22" i="3"/>
  <c r="K18" i="3"/>
  <c r="L17" i="3"/>
  <c r="K15" i="3"/>
  <c r="L14" i="3"/>
  <c r="K13" i="3"/>
  <c r="U12" i="3"/>
  <c r="T12" i="3"/>
  <c r="S12" i="3"/>
  <c r="P12" i="3"/>
  <c r="W11" i="3"/>
  <c r="W10" i="3"/>
  <c r="T10" i="3"/>
  <c r="S10" i="3"/>
  <c r="V9" i="3"/>
  <c r="T9" i="3"/>
  <c r="S9" i="3"/>
  <c r="P9" i="3"/>
  <c r="M9" i="3"/>
  <c r="A22" i="5"/>
  <c r="B22" i="5"/>
  <c r="C22" i="5"/>
  <c r="A23" i="5"/>
  <c r="B23" i="5"/>
  <c r="C23" i="5"/>
  <c r="A2" i="5"/>
  <c r="B2" i="5"/>
  <c r="C2" i="5"/>
  <c r="A3" i="5"/>
  <c r="B3" i="5"/>
  <c r="C3" i="5"/>
  <c r="A4" i="5"/>
  <c r="B4" i="5"/>
  <c r="C4" i="5"/>
  <c r="A5" i="5"/>
  <c r="B5" i="5"/>
  <c r="A6" i="5"/>
  <c r="B6" i="5"/>
  <c r="C6" i="5"/>
  <c r="A7" i="5"/>
  <c r="B7" i="5"/>
  <c r="C7" i="5"/>
  <c r="A8" i="5"/>
  <c r="B8" i="5"/>
  <c r="C8" i="5"/>
  <c r="A9" i="5"/>
  <c r="A10" i="5"/>
  <c r="A11" i="5"/>
  <c r="A12" i="5"/>
  <c r="A14" i="5"/>
  <c r="B14" i="5"/>
  <c r="C14" i="5"/>
  <c r="A15" i="5"/>
  <c r="C15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B1" i="5"/>
  <c r="A1" i="5"/>
  <c r="A2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Q4" i="4"/>
  <c r="R4" i="4"/>
  <c r="S4" i="4"/>
  <c r="T4" i="4"/>
  <c r="U4" i="4"/>
  <c r="V4" i="4"/>
  <c r="W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B9" i="4"/>
  <c r="C9" i="4"/>
  <c r="D9" i="4"/>
  <c r="E9" i="4"/>
  <c r="F9" i="4"/>
  <c r="G9" i="4"/>
  <c r="H9" i="4"/>
  <c r="I9" i="4"/>
  <c r="K9" i="4"/>
  <c r="L9" i="4"/>
  <c r="U9" i="4"/>
  <c r="V9" i="4"/>
  <c r="W9" i="4"/>
  <c r="A10" i="4"/>
  <c r="B10" i="4"/>
  <c r="C10" i="4"/>
  <c r="D10" i="4"/>
  <c r="E10" i="4"/>
  <c r="F10" i="4"/>
  <c r="G10" i="4"/>
  <c r="H10" i="4"/>
  <c r="I10" i="4"/>
  <c r="J10" i="4"/>
  <c r="L10" i="4"/>
  <c r="M10" i="4"/>
  <c r="N10" i="4"/>
  <c r="A11" i="4"/>
  <c r="B11" i="4"/>
  <c r="C11" i="4"/>
  <c r="D11" i="4"/>
  <c r="E11" i="4"/>
  <c r="F11" i="4"/>
  <c r="G11" i="4"/>
  <c r="H11" i="4"/>
  <c r="I11" i="4"/>
  <c r="J11" i="4"/>
  <c r="K11" i="4"/>
  <c r="P11" i="4"/>
  <c r="Q11" i="4"/>
  <c r="R11" i="4"/>
  <c r="A12" i="4"/>
  <c r="B12" i="4"/>
  <c r="C12" i="4"/>
  <c r="D12" i="4"/>
  <c r="E12" i="4"/>
  <c r="F12" i="4"/>
  <c r="G12" i="4"/>
  <c r="H12" i="4"/>
  <c r="I12" i="4"/>
  <c r="J12" i="4"/>
  <c r="K12" i="4"/>
  <c r="L12" i="4"/>
  <c r="V12" i="4"/>
  <c r="W12" i="4"/>
  <c r="A13" i="4"/>
  <c r="B13" i="4"/>
  <c r="C13" i="4"/>
  <c r="D13" i="4"/>
  <c r="E13" i="4"/>
  <c r="F13" i="4"/>
  <c r="G13" i="4"/>
  <c r="H13" i="4"/>
  <c r="M13" i="4"/>
  <c r="N13" i="4"/>
  <c r="O13" i="4"/>
  <c r="P13" i="4"/>
  <c r="Q13" i="4"/>
  <c r="R13" i="4"/>
  <c r="S13" i="4"/>
  <c r="T13" i="4"/>
  <c r="U13" i="4"/>
  <c r="V13" i="4"/>
  <c r="W13" i="4"/>
  <c r="X13" i="4"/>
  <c r="A14" i="4"/>
  <c r="B14" i="4"/>
  <c r="C14" i="4"/>
  <c r="D14" i="4"/>
  <c r="E14" i="4"/>
  <c r="F14" i="4"/>
  <c r="G14" i="4"/>
  <c r="H14" i="4"/>
  <c r="M14" i="4"/>
  <c r="N14" i="4"/>
  <c r="P14" i="4"/>
  <c r="Q14" i="4"/>
  <c r="R14" i="4"/>
  <c r="S14" i="4"/>
  <c r="T14" i="4"/>
  <c r="U14" i="4"/>
  <c r="V14" i="4"/>
  <c r="W14" i="4"/>
  <c r="X14" i="4"/>
  <c r="A15" i="4"/>
  <c r="B15" i="4"/>
  <c r="C15" i="4"/>
  <c r="D15" i="4"/>
  <c r="E15" i="4"/>
  <c r="F15" i="4"/>
  <c r="G15" i="4"/>
  <c r="H15" i="4"/>
  <c r="M15" i="4"/>
  <c r="N15" i="4"/>
  <c r="O15" i="4"/>
  <c r="Q15" i="4"/>
  <c r="R15" i="4"/>
  <c r="S15" i="4"/>
  <c r="T15" i="4"/>
  <c r="U15" i="4"/>
  <c r="V15" i="4"/>
  <c r="W15" i="4"/>
  <c r="X15" i="4"/>
  <c r="A16" i="4"/>
  <c r="B16" i="4"/>
  <c r="C16" i="4"/>
  <c r="D16" i="4"/>
  <c r="E16" i="4"/>
  <c r="F16" i="4"/>
  <c r="G16" i="4"/>
  <c r="H16" i="4"/>
  <c r="J16" i="4"/>
  <c r="M16" i="4"/>
  <c r="N16" i="4"/>
  <c r="O16" i="4"/>
  <c r="P16" i="4"/>
  <c r="Q16" i="4"/>
  <c r="R16" i="4"/>
  <c r="S16" i="4"/>
  <c r="T16" i="4"/>
  <c r="U16" i="4"/>
  <c r="V16" i="4"/>
  <c r="W16" i="4"/>
  <c r="X16" i="4"/>
  <c r="A17" i="4"/>
  <c r="B17" i="4"/>
  <c r="C17" i="4"/>
  <c r="D17" i="4"/>
  <c r="E17" i="4"/>
  <c r="F17" i="4"/>
  <c r="G17" i="4"/>
  <c r="H17" i="4"/>
  <c r="M17" i="4"/>
  <c r="N17" i="4"/>
  <c r="O17" i="4"/>
  <c r="P17" i="4"/>
  <c r="Q17" i="4"/>
  <c r="R17" i="4"/>
  <c r="S17" i="4"/>
  <c r="T17" i="4"/>
  <c r="U17" i="4"/>
  <c r="V17" i="4"/>
  <c r="W17" i="4"/>
  <c r="X17" i="4"/>
  <c r="A18" i="4"/>
  <c r="B18" i="4"/>
  <c r="C18" i="4"/>
  <c r="D18" i="4"/>
  <c r="E18" i="4"/>
  <c r="F18" i="4"/>
  <c r="G18" i="4"/>
  <c r="H18" i="4"/>
  <c r="M18" i="4"/>
  <c r="N18" i="4"/>
  <c r="O18" i="4"/>
  <c r="P18" i="4"/>
  <c r="Q18" i="4"/>
  <c r="R18" i="4"/>
  <c r="S18" i="4"/>
  <c r="T18" i="4"/>
  <c r="U18" i="4"/>
  <c r="V18" i="4"/>
  <c r="W18" i="4"/>
  <c r="X18" i="4"/>
  <c r="A19" i="4"/>
  <c r="B19" i="4"/>
  <c r="C19" i="4"/>
  <c r="D19" i="4"/>
  <c r="E19" i="4"/>
  <c r="F19" i="4"/>
  <c r="G19" i="4"/>
  <c r="H19" i="4"/>
  <c r="M19" i="4"/>
  <c r="N19" i="4"/>
  <c r="O19" i="4"/>
  <c r="P19" i="4"/>
  <c r="Q19" i="4"/>
  <c r="R19" i="4"/>
  <c r="S19" i="4"/>
  <c r="T19" i="4"/>
  <c r="U19" i="4"/>
  <c r="V19" i="4"/>
  <c r="W19" i="4"/>
  <c r="X19" i="4"/>
  <c r="A20" i="4"/>
  <c r="B20" i="4"/>
  <c r="C20" i="4"/>
  <c r="D20" i="4"/>
  <c r="E20" i="4"/>
  <c r="F20" i="4"/>
  <c r="G20" i="4"/>
  <c r="H20" i="4"/>
  <c r="I20" i="4"/>
  <c r="M20" i="4"/>
  <c r="N20" i="4"/>
  <c r="O20" i="4"/>
  <c r="P20" i="4"/>
  <c r="Q20" i="4"/>
  <c r="R20" i="4"/>
  <c r="S20" i="4"/>
  <c r="T20" i="4"/>
  <c r="U20" i="4"/>
  <c r="V20" i="4"/>
  <c r="W20" i="4"/>
  <c r="X20" i="4"/>
  <c r="A21" i="4"/>
  <c r="B21" i="4"/>
  <c r="C21" i="4"/>
  <c r="D21" i="4"/>
  <c r="E21" i="4"/>
  <c r="F21" i="4"/>
  <c r="G21" i="4"/>
  <c r="H21" i="4"/>
  <c r="M21" i="4"/>
  <c r="N21" i="4"/>
  <c r="O21" i="4"/>
  <c r="P21" i="4"/>
  <c r="Q21" i="4"/>
  <c r="R21" i="4"/>
  <c r="S21" i="4"/>
  <c r="T21" i="4"/>
  <c r="U21" i="4"/>
  <c r="V21" i="4"/>
  <c r="W21" i="4"/>
  <c r="X21" i="4"/>
  <c r="A22" i="4"/>
  <c r="B22" i="4"/>
  <c r="C22" i="4"/>
  <c r="D22" i="4"/>
  <c r="E22" i="4"/>
  <c r="F22" i="4"/>
  <c r="G22" i="4"/>
  <c r="H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A23" i="4"/>
  <c r="B23" i="4"/>
  <c r="C23" i="4"/>
  <c r="D23" i="4"/>
  <c r="E23" i="4"/>
  <c r="F23" i="4"/>
  <c r="G23" i="4"/>
  <c r="H23" i="4"/>
  <c r="M23" i="4"/>
  <c r="N23" i="4"/>
  <c r="O23" i="4"/>
  <c r="P23" i="4"/>
  <c r="Q23" i="4"/>
  <c r="R23" i="4"/>
  <c r="S23" i="4"/>
  <c r="T23" i="4"/>
  <c r="U23" i="4"/>
  <c r="V23" i="4"/>
  <c r="W23" i="4"/>
  <c r="X23" i="4"/>
  <c r="A24" i="4"/>
  <c r="B24" i="4"/>
  <c r="C24" i="4"/>
  <c r="D24" i="4"/>
  <c r="E24" i="4"/>
  <c r="F24" i="4"/>
  <c r="G24" i="4"/>
  <c r="H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A1" i="4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Q4" i="3"/>
  <c r="R4" i="3"/>
  <c r="S4" i="3"/>
  <c r="T4" i="3"/>
  <c r="U4" i="3"/>
  <c r="V4" i="3"/>
  <c r="W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A9" i="3"/>
  <c r="B9" i="3"/>
  <c r="C9" i="3"/>
  <c r="D9" i="3"/>
  <c r="E9" i="3"/>
  <c r="F9" i="3"/>
  <c r="G9" i="3"/>
  <c r="H9" i="3"/>
  <c r="I9" i="3"/>
  <c r="K9" i="3"/>
  <c r="L9" i="3"/>
  <c r="N9" i="3"/>
  <c r="O9" i="3"/>
  <c r="R9" i="3"/>
  <c r="A10" i="3"/>
  <c r="B10" i="3"/>
  <c r="C10" i="3"/>
  <c r="D10" i="3"/>
  <c r="E10" i="3"/>
  <c r="F10" i="3"/>
  <c r="G10" i="3"/>
  <c r="H10" i="3"/>
  <c r="I10" i="3"/>
  <c r="J10" i="3"/>
  <c r="L10" i="3"/>
  <c r="M10" i="3"/>
  <c r="O10" i="3"/>
  <c r="Q10" i="3"/>
  <c r="R10" i="3"/>
  <c r="A11" i="3"/>
  <c r="B11" i="3"/>
  <c r="C11" i="3"/>
  <c r="D11" i="3"/>
  <c r="E11" i="3"/>
  <c r="F11" i="3"/>
  <c r="G11" i="3"/>
  <c r="H11" i="3"/>
  <c r="I11" i="3"/>
  <c r="J11" i="3"/>
  <c r="K11" i="3"/>
  <c r="U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A13" i="3"/>
  <c r="B13" i="3"/>
  <c r="C13" i="3"/>
  <c r="D13" i="3"/>
  <c r="E13" i="3"/>
  <c r="F13" i="3"/>
  <c r="G13" i="3"/>
  <c r="H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A14" i="3"/>
  <c r="B14" i="3"/>
  <c r="C14" i="3"/>
  <c r="D14" i="3"/>
  <c r="E14" i="3"/>
  <c r="F14" i="3"/>
  <c r="G14" i="3"/>
  <c r="H14" i="3"/>
  <c r="I14" i="3"/>
  <c r="J14" i="3"/>
  <c r="K14" i="3"/>
  <c r="M14" i="3"/>
  <c r="N14" i="3"/>
  <c r="P14" i="3"/>
  <c r="Q14" i="3"/>
  <c r="R14" i="3"/>
  <c r="S14" i="3"/>
  <c r="T14" i="3"/>
  <c r="U14" i="3"/>
  <c r="V14" i="3"/>
  <c r="W14" i="3"/>
  <c r="X14" i="3"/>
  <c r="A15" i="3"/>
  <c r="B15" i="3"/>
  <c r="C15" i="3"/>
  <c r="D15" i="3"/>
  <c r="E15" i="3"/>
  <c r="F15" i="3"/>
  <c r="G15" i="3"/>
  <c r="H15" i="3"/>
  <c r="M15" i="3"/>
  <c r="N15" i="3"/>
  <c r="O15" i="3"/>
  <c r="Q15" i="3"/>
  <c r="R15" i="3"/>
  <c r="S15" i="3"/>
  <c r="T15" i="3"/>
  <c r="U15" i="3"/>
  <c r="V15" i="3"/>
  <c r="W15" i="3"/>
  <c r="X15" i="3"/>
  <c r="A16" i="3"/>
  <c r="B16" i="3"/>
  <c r="C16" i="3"/>
  <c r="D16" i="3"/>
  <c r="E16" i="3"/>
  <c r="F16" i="3"/>
  <c r="G16" i="3"/>
  <c r="H16" i="3"/>
  <c r="M16" i="3"/>
  <c r="N16" i="3"/>
  <c r="O16" i="3"/>
  <c r="P16" i="3"/>
  <c r="Q16" i="3"/>
  <c r="R16" i="3"/>
  <c r="S16" i="3"/>
  <c r="T16" i="3"/>
  <c r="U16" i="3"/>
  <c r="V16" i="3"/>
  <c r="W16" i="3"/>
  <c r="X16" i="3"/>
  <c r="A17" i="3"/>
  <c r="B17" i="3"/>
  <c r="C17" i="3"/>
  <c r="D17" i="3"/>
  <c r="E17" i="3"/>
  <c r="F17" i="3"/>
  <c r="G17" i="3"/>
  <c r="H17" i="3"/>
  <c r="I17" i="3"/>
  <c r="M17" i="3"/>
  <c r="N17" i="3"/>
  <c r="O17" i="3"/>
  <c r="P17" i="3"/>
  <c r="Q17" i="3"/>
  <c r="R17" i="3"/>
  <c r="S17" i="3"/>
  <c r="T17" i="3"/>
  <c r="U17" i="3"/>
  <c r="V17" i="3"/>
  <c r="W17" i="3"/>
  <c r="X17" i="3"/>
  <c r="A18" i="3"/>
  <c r="B18" i="3"/>
  <c r="C18" i="3"/>
  <c r="D18" i="3"/>
  <c r="E18" i="3"/>
  <c r="F18" i="3"/>
  <c r="G18" i="3"/>
  <c r="H18" i="3"/>
  <c r="J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A19" i="3"/>
  <c r="B19" i="3"/>
  <c r="C19" i="3"/>
  <c r="D19" i="3"/>
  <c r="E19" i="3"/>
  <c r="F19" i="3"/>
  <c r="G19" i="3"/>
  <c r="H19" i="3"/>
  <c r="J19" i="3"/>
  <c r="M19" i="3"/>
  <c r="N19" i="3"/>
  <c r="O19" i="3"/>
  <c r="P19" i="3"/>
  <c r="Q19" i="3"/>
  <c r="R19" i="3"/>
  <c r="S19" i="3"/>
  <c r="T19" i="3"/>
  <c r="U19" i="3"/>
  <c r="V19" i="3"/>
  <c r="W19" i="3"/>
  <c r="X19" i="3"/>
  <c r="A20" i="3"/>
  <c r="B20" i="3"/>
  <c r="C20" i="3"/>
  <c r="D20" i="3"/>
  <c r="E20" i="3"/>
  <c r="F20" i="3"/>
  <c r="G20" i="3"/>
  <c r="H20" i="3"/>
  <c r="M20" i="3"/>
  <c r="N20" i="3"/>
  <c r="O20" i="3"/>
  <c r="P20" i="3"/>
  <c r="Q20" i="3"/>
  <c r="R20" i="3"/>
  <c r="S20" i="3"/>
  <c r="T20" i="3"/>
  <c r="U20" i="3"/>
  <c r="V20" i="3"/>
  <c r="W20" i="3"/>
  <c r="X20" i="3"/>
  <c r="A21" i="3"/>
  <c r="B21" i="3"/>
  <c r="C21" i="3"/>
  <c r="D21" i="3"/>
  <c r="E21" i="3"/>
  <c r="F21" i="3"/>
  <c r="G21" i="3"/>
  <c r="H21" i="3"/>
  <c r="M21" i="3"/>
  <c r="N21" i="3"/>
  <c r="O21" i="3"/>
  <c r="P21" i="3"/>
  <c r="Q21" i="3"/>
  <c r="R21" i="3"/>
  <c r="S21" i="3"/>
  <c r="T21" i="3"/>
  <c r="U21" i="3"/>
  <c r="V21" i="3"/>
  <c r="W21" i="3"/>
  <c r="X21" i="3"/>
  <c r="A22" i="3"/>
  <c r="B22" i="3"/>
  <c r="C22" i="3"/>
  <c r="D22" i="3"/>
  <c r="E22" i="3"/>
  <c r="F22" i="3"/>
  <c r="G22" i="3"/>
  <c r="H22" i="3"/>
  <c r="J22" i="3"/>
  <c r="K22" i="3"/>
  <c r="M22" i="3"/>
  <c r="N22" i="3"/>
  <c r="O22" i="3"/>
  <c r="P22" i="3"/>
  <c r="Q22" i="3"/>
  <c r="R22" i="3"/>
  <c r="S22" i="3"/>
  <c r="T22" i="3"/>
  <c r="U22" i="3"/>
  <c r="V22" i="3"/>
  <c r="W22" i="3"/>
  <c r="X22" i="3"/>
  <c r="A23" i="3"/>
  <c r="B23" i="3"/>
  <c r="C23" i="3"/>
  <c r="D23" i="3"/>
  <c r="E23" i="3"/>
  <c r="F23" i="3"/>
  <c r="G23" i="3"/>
  <c r="H23" i="3"/>
  <c r="I23" i="3"/>
  <c r="J23" i="3"/>
  <c r="M23" i="3"/>
  <c r="N23" i="3"/>
  <c r="O23" i="3"/>
  <c r="P23" i="3"/>
  <c r="Q23" i="3"/>
  <c r="R23" i="3"/>
  <c r="S23" i="3"/>
  <c r="T23" i="3"/>
  <c r="U23" i="3"/>
  <c r="V23" i="3"/>
  <c r="W23" i="3"/>
  <c r="X23" i="3"/>
  <c r="A24" i="3"/>
  <c r="B24" i="3"/>
  <c r="C24" i="3"/>
  <c r="D24" i="3"/>
  <c r="E24" i="3"/>
  <c r="F24" i="3"/>
  <c r="G24" i="3"/>
  <c r="H24" i="3"/>
  <c r="I24" i="3"/>
  <c r="J24" i="3"/>
  <c r="M24" i="3"/>
  <c r="N24" i="3"/>
  <c r="O24" i="3"/>
  <c r="P24" i="3"/>
  <c r="Q24" i="3"/>
  <c r="R24" i="3"/>
  <c r="S24" i="3"/>
  <c r="T24" i="3"/>
  <c r="U24" i="3"/>
  <c r="V24" i="3"/>
  <c r="W24" i="3"/>
  <c r="X24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A1" i="3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Q4" i="2"/>
  <c r="R4" i="2"/>
  <c r="S4" i="2"/>
  <c r="T4" i="2"/>
  <c r="U4" i="2"/>
  <c r="V4" i="2"/>
  <c r="W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A8" i="2"/>
  <c r="B8" i="2"/>
  <c r="C8" i="2"/>
  <c r="D8" i="2"/>
  <c r="E8" i="2"/>
  <c r="F8" i="2"/>
  <c r="G8" i="2"/>
  <c r="H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A9" i="2"/>
  <c r="B9" i="2"/>
  <c r="C9" i="2"/>
  <c r="D9" i="2"/>
  <c r="E9" i="2"/>
  <c r="F9" i="2"/>
  <c r="G9" i="2"/>
  <c r="H9" i="2"/>
  <c r="K9" i="2"/>
  <c r="L9" i="2"/>
  <c r="M9" i="2"/>
  <c r="N9" i="2"/>
  <c r="O9" i="2"/>
  <c r="P9" i="2"/>
  <c r="R9" i="2"/>
  <c r="S9" i="2"/>
  <c r="T9" i="2"/>
  <c r="U9" i="2"/>
  <c r="V9" i="2"/>
  <c r="W9" i="2"/>
  <c r="X9" i="2"/>
  <c r="A10" i="2"/>
  <c r="B10" i="2"/>
  <c r="C10" i="2"/>
  <c r="D10" i="2"/>
  <c r="E10" i="2"/>
  <c r="F10" i="2"/>
  <c r="G10" i="2"/>
  <c r="H10" i="2"/>
  <c r="I10" i="2"/>
  <c r="J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A11" i="2"/>
  <c r="B11" i="2"/>
  <c r="C11" i="2"/>
  <c r="D11" i="2"/>
  <c r="E11" i="2"/>
  <c r="F11" i="2"/>
  <c r="G11" i="2"/>
  <c r="H11" i="2"/>
  <c r="I11" i="2"/>
  <c r="J11" i="2"/>
  <c r="K11" i="2"/>
  <c r="U11" i="2"/>
  <c r="V11" i="2"/>
  <c r="W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A13" i="2"/>
  <c r="B13" i="2"/>
  <c r="C13" i="2"/>
  <c r="D13" i="2"/>
  <c r="E13" i="2"/>
  <c r="F13" i="2"/>
  <c r="G13" i="2"/>
  <c r="H13" i="2"/>
  <c r="I13" i="2"/>
  <c r="J13" i="2"/>
  <c r="M13" i="2"/>
  <c r="N13" i="2"/>
  <c r="O13" i="2"/>
  <c r="P13" i="2"/>
  <c r="Q13" i="2"/>
  <c r="R13" i="2"/>
  <c r="S13" i="2"/>
  <c r="T13" i="2"/>
  <c r="U13" i="2"/>
  <c r="V13" i="2"/>
  <c r="W13" i="2"/>
  <c r="X13" i="2"/>
  <c r="A14" i="2"/>
  <c r="B14" i="2"/>
  <c r="D14" i="2"/>
  <c r="E14" i="2"/>
  <c r="F14" i="2"/>
  <c r="G14" i="2"/>
  <c r="H14" i="2"/>
  <c r="I14" i="2"/>
  <c r="J14" i="2"/>
  <c r="K14" i="2"/>
  <c r="L14" i="2"/>
  <c r="M14" i="2"/>
  <c r="N14" i="2"/>
  <c r="P14" i="2"/>
  <c r="Q14" i="2"/>
  <c r="R14" i="2"/>
  <c r="S14" i="2"/>
  <c r="T14" i="2"/>
  <c r="U14" i="2"/>
  <c r="V14" i="2"/>
  <c r="W14" i="2"/>
  <c r="X14" i="2"/>
  <c r="A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Q15" i="2"/>
  <c r="R15" i="2"/>
  <c r="S15" i="2"/>
  <c r="T15" i="2"/>
  <c r="U15" i="2"/>
  <c r="V15" i="2"/>
  <c r="W15" i="2"/>
  <c r="X15" i="2"/>
  <c r="A16" i="2"/>
  <c r="B16" i="2"/>
  <c r="C16" i="2"/>
  <c r="D16" i="2"/>
  <c r="E16" i="2"/>
  <c r="F16" i="2"/>
  <c r="G16" i="2"/>
  <c r="H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A17" i="2"/>
  <c r="B17" i="2"/>
  <c r="C17" i="2"/>
  <c r="D17" i="2"/>
  <c r="E17" i="2"/>
  <c r="F17" i="2"/>
  <c r="G17" i="2"/>
  <c r="H17" i="2"/>
  <c r="I17" i="2"/>
  <c r="J17" i="2"/>
  <c r="M17" i="2"/>
  <c r="N17" i="2"/>
  <c r="O17" i="2"/>
  <c r="P17" i="2"/>
  <c r="Q17" i="2"/>
  <c r="R17" i="2"/>
  <c r="S17" i="2"/>
  <c r="T17" i="2"/>
  <c r="U17" i="2"/>
  <c r="V17" i="2"/>
  <c r="W17" i="2"/>
  <c r="X17" i="2"/>
  <c r="A18" i="2"/>
  <c r="B18" i="2"/>
  <c r="C18" i="2"/>
  <c r="D18" i="2"/>
  <c r="E18" i="2"/>
  <c r="F18" i="2"/>
  <c r="G18" i="2"/>
  <c r="H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A19" i="2"/>
  <c r="B19" i="2"/>
  <c r="C19" i="2"/>
  <c r="D19" i="2"/>
  <c r="E19" i="2"/>
  <c r="F19" i="2"/>
  <c r="G19" i="2"/>
  <c r="H19" i="2"/>
  <c r="J19" i="2"/>
  <c r="M19" i="2"/>
  <c r="N19" i="2"/>
  <c r="O19" i="2"/>
  <c r="P19" i="2"/>
  <c r="Q19" i="2"/>
  <c r="R19" i="2"/>
  <c r="S19" i="2"/>
  <c r="T19" i="2"/>
  <c r="U19" i="2"/>
  <c r="V19" i="2"/>
  <c r="W19" i="2"/>
  <c r="X19" i="2"/>
  <c r="A20" i="2"/>
  <c r="B20" i="2"/>
  <c r="C20" i="2"/>
  <c r="D20" i="2"/>
  <c r="E20" i="2"/>
  <c r="F20" i="2"/>
  <c r="G20" i="2"/>
  <c r="H20" i="2"/>
  <c r="I20" i="2"/>
  <c r="J20" i="2"/>
  <c r="M20" i="2"/>
  <c r="N20" i="2"/>
  <c r="O20" i="2"/>
  <c r="P20" i="2"/>
  <c r="Q20" i="2"/>
  <c r="R20" i="2"/>
  <c r="S20" i="2"/>
  <c r="T20" i="2"/>
  <c r="U20" i="2"/>
  <c r="V20" i="2"/>
  <c r="W20" i="2"/>
  <c r="X20" i="2"/>
  <c r="A21" i="2"/>
  <c r="B21" i="2"/>
  <c r="C21" i="2"/>
  <c r="D21" i="2"/>
  <c r="E21" i="2"/>
  <c r="F21" i="2"/>
  <c r="G21" i="2"/>
  <c r="H21" i="2"/>
  <c r="I21" i="2"/>
  <c r="J21" i="2"/>
  <c r="M21" i="2"/>
  <c r="N21" i="2"/>
  <c r="O21" i="2"/>
  <c r="P21" i="2"/>
  <c r="Q21" i="2"/>
  <c r="R21" i="2"/>
  <c r="S21" i="2"/>
  <c r="T21" i="2"/>
  <c r="U21" i="2"/>
  <c r="V21" i="2"/>
  <c r="W21" i="2"/>
  <c r="X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A1" i="2"/>
  <c r="AD17" i="9"/>
  <c r="M82" i="9"/>
  <c r="L82" i="9"/>
  <c r="K82" i="9"/>
  <c r="J24" i="4" s="1"/>
  <c r="J82" i="9"/>
  <c r="I24" i="4" s="1"/>
  <c r="M81" i="9"/>
  <c r="L23" i="4" s="1"/>
  <c r="L81" i="9"/>
  <c r="K23" i="4" s="1"/>
  <c r="K81" i="9"/>
  <c r="J23" i="4" s="1"/>
  <c r="J81" i="9"/>
  <c r="I23" i="4" s="1"/>
  <c r="M80" i="9"/>
  <c r="L80" i="9"/>
  <c r="K22" i="4" s="1"/>
  <c r="K80" i="9"/>
  <c r="J22" i="4" s="1"/>
  <c r="J80" i="9"/>
  <c r="I22" i="4" s="1"/>
  <c r="M79" i="9"/>
  <c r="L21" i="4" s="1"/>
  <c r="L79" i="9"/>
  <c r="K21" i="4" s="1"/>
  <c r="K79" i="9"/>
  <c r="J21" i="4" s="1"/>
  <c r="J79" i="9"/>
  <c r="I21" i="4" s="1"/>
  <c r="M78" i="9"/>
  <c r="L20" i="4" s="1"/>
  <c r="L78" i="9"/>
  <c r="K20" i="4" s="1"/>
  <c r="K78" i="9"/>
  <c r="J20" i="4" s="1"/>
  <c r="M77" i="9"/>
  <c r="L19" i="4" s="1"/>
  <c r="L77" i="9"/>
  <c r="K19" i="4" s="1"/>
  <c r="K77" i="9"/>
  <c r="J19" i="4" s="1"/>
  <c r="M76" i="9"/>
  <c r="L18" i="4" s="1"/>
  <c r="L76" i="9"/>
  <c r="K18" i="4" s="1"/>
  <c r="K76" i="9"/>
  <c r="J18" i="4" s="1"/>
  <c r="M75" i="9"/>
  <c r="L17" i="4" s="1"/>
  <c r="L75" i="9"/>
  <c r="K17" i="4" s="1"/>
  <c r="K75" i="9"/>
  <c r="J17" i="4" s="1"/>
  <c r="J75" i="9"/>
  <c r="I17" i="4" s="1"/>
  <c r="M74" i="9"/>
  <c r="L16" i="4" s="1"/>
  <c r="L74" i="9"/>
  <c r="K16" i="4" s="1"/>
  <c r="K74" i="9"/>
  <c r="M73" i="9"/>
  <c r="L15" i="4" s="1"/>
  <c r="L73" i="9"/>
  <c r="K15" i="4" s="1"/>
  <c r="K73" i="9"/>
  <c r="J15" i="4" s="1"/>
  <c r="J73" i="9"/>
  <c r="I15" i="4" s="1"/>
  <c r="M72" i="9"/>
  <c r="L14" i="4" s="1"/>
  <c r="L72" i="9"/>
  <c r="K14" i="4" s="1"/>
  <c r="K72" i="9"/>
  <c r="J14" i="4" s="1"/>
  <c r="J72" i="9"/>
  <c r="I14" i="4" s="1"/>
  <c r="M71" i="9"/>
  <c r="L13" i="4" s="1"/>
  <c r="L71" i="9"/>
  <c r="K13" i="4" s="1"/>
  <c r="K71" i="9"/>
  <c r="J13" i="4" s="1"/>
  <c r="J71" i="9"/>
  <c r="I13" i="4" s="1"/>
  <c r="X70" i="9"/>
  <c r="W70" i="9"/>
  <c r="V70" i="9"/>
  <c r="U12" i="4" s="1"/>
  <c r="U70" i="9"/>
  <c r="T12" i="4" s="1"/>
  <c r="T70" i="9"/>
  <c r="S12" i="4" s="1"/>
  <c r="S70" i="9"/>
  <c r="R12" i="4" s="1"/>
  <c r="R70" i="9"/>
  <c r="Q12" i="4" s="1"/>
  <c r="Q70" i="9"/>
  <c r="P12" i="4" s="1"/>
  <c r="P70" i="9"/>
  <c r="O12" i="4" s="1"/>
  <c r="O70" i="9"/>
  <c r="N12" i="4" s="1"/>
  <c r="N70" i="9"/>
  <c r="M12" i="4" s="1"/>
  <c r="X69" i="9"/>
  <c r="W11" i="4" s="1"/>
  <c r="W69" i="9"/>
  <c r="V11" i="4" s="1"/>
  <c r="V69" i="9"/>
  <c r="U11" i="4" s="1"/>
  <c r="U69" i="9"/>
  <c r="T11" i="4" s="1"/>
  <c r="T69" i="9"/>
  <c r="S11" i="4" s="1"/>
  <c r="S69" i="9"/>
  <c r="R69" i="9"/>
  <c r="Q69" i="9"/>
  <c r="P69" i="9"/>
  <c r="O11" i="4" s="1"/>
  <c r="O69" i="9"/>
  <c r="N11" i="4" s="1"/>
  <c r="N69" i="9"/>
  <c r="M11" i="4" s="1"/>
  <c r="Y68" i="9"/>
  <c r="X10" i="4" s="1"/>
  <c r="X68" i="9"/>
  <c r="W10" i="4" s="1"/>
  <c r="W68" i="9"/>
  <c r="V10" i="4" s="1"/>
  <c r="V68" i="9"/>
  <c r="U10" i="4" s="1"/>
  <c r="U68" i="9"/>
  <c r="T10" i="4" s="1"/>
  <c r="T68" i="9"/>
  <c r="S10" i="4" s="1"/>
  <c r="S68" i="9"/>
  <c r="R10" i="4" s="1"/>
  <c r="R68" i="9"/>
  <c r="Q10" i="4" s="1"/>
  <c r="Q68" i="9"/>
  <c r="P10" i="4" s="1"/>
  <c r="P68" i="9"/>
  <c r="O10" i="4" s="1"/>
  <c r="O68" i="9"/>
  <c r="N68" i="9"/>
  <c r="Y67" i="9"/>
  <c r="X9" i="4" s="1"/>
  <c r="X67" i="9"/>
  <c r="W67" i="9"/>
  <c r="V67" i="9"/>
  <c r="U67" i="9"/>
  <c r="T9" i="4" s="1"/>
  <c r="T67" i="9"/>
  <c r="S9" i="4" s="1"/>
  <c r="S67" i="9"/>
  <c r="R9" i="4" s="1"/>
  <c r="Q67" i="9"/>
  <c r="P9" i="4" s="1"/>
  <c r="P67" i="9"/>
  <c r="O9" i="4" s="1"/>
  <c r="O67" i="9"/>
  <c r="N9" i="4" s="1"/>
  <c r="N67" i="9"/>
  <c r="M9" i="4" s="1"/>
  <c r="B67" i="9"/>
  <c r="A9" i="4" s="1"/>
  <c r="J77" i="8" l="1"/>
  <c r="I77" i="8" s="1"/>
  <c r="H77" i="8" s="1"/>
  <c r="J76" i="8"/>
  <c r="I76" i="8" s="1"/>
  <c r="H76" i="8" s="1"/>
  <c r="I68" i="8"/>
  <c r="H68" i="8" s="1"/>
  <c r="C9" i="5" s="1"/>
  <c r="G50" i="8"/>
  <c r="I50" i="8" s="1"/>
  <c r="H50" i="8" s="1"/>
  <c r="C14" i="2"/>
  <c r="O14" i="4"/>
  <c r="P4" i="2"/>
  <c r="H54" i="8"/>
  <c r="P15" i="2" s="1"/>
  <c r="H55" i="8"/>
  <c r="P15" i="3" s="1"/>
  <c r="H56" i="8"/>
  <c r="P15" i="4" s="1"/>
  <c r="I52" i="8"/>
  <c r="H52" i="8" s="1"/>
  <c r="O14" i="3" s="1"/>
  <c r="I51" i="8"/>
  <c r="H51" i="8" s="1"/>
  <c r="O14" i="2" s="1"/>
  <c r="H65" i="8"/>
  <c r="P4" i="4" s="1"/>
  <c r="H64" i="8"/>
  <c r="P4" i="3" s="1"/>
  <c r="H62" i="8"/>
  <c r="G37" i="8"/>
  <c r="I37" i="8" s="1"/>
  <c r="H37" i="8" s="1"/>
  <c r="I3" i="8"/>
  <c r="H3" i="8" s="1"/>
  <c r="B10" i="5" s="1"/>
  <c r="I2" i="8"/>
  <c r="H2" i="8" s="1"/>
  <c r="B9" i="5" s="1"/>
  <c r="H4" i="8"/>
  <c r="B11" i="5" s="1"/>
  <c r="I9" i="8"/>
  <c r="H9" i="8" s="1"/>
  <c r="C12" i="5" s="1"/>
  <c r="I8" i="8"/>
  <c r="H8" i="8" s="1"/>
  <c r="C11" i="5" s="1"/>
  <c r="I7" i="8"/>
  <c r="H7" i="8" s="1"/>
  <c r="C10" i="5" s="1"/>
  <c r="I21" i="8"/>
  <c r="L11" i="3"/>
  <c r="I19" i="3"/>
  <c r="X11" i="3"/>
  <c r="B12" i="5"/>
  <c r="L11" i="2"/>
  <c r="K10" i="3"/>
  <c r="J9" i="2"/>
  <c r="X11" i="4"/>
  <c r="I18" i="2"/>
  <c r="J9" i="3"/>
  <c r="X11" i="2"/>
  <c r="K10" i="4"/>
  <c r="J9" i="4"/>
  <c r="Q9" i="3"/>
  <c r="I19" i="4"/>
  <c r="Q9" i="2"/>
  <c r="I18" i="3"/>
  <c r="L11" i="4"/>
  <c r="I18" i="4"/>
  <c r="I19" i="2"/>
  <c r="X12" i="2"/>
  <c r="X12" i="3"/>
  <c r="X12" i="4"/>
  <c r="I16" i="2"/>
  <c r="K10" i="2"/>
  <c r="H21" i="8" l="1"/>
  <c r="Q9" i="4" s="1"/>
  <c r="B15" i="5"/>
  <c r="I72" i="8"/>
  <c r="H72" i="8" l="1"/>
  <c r="J75" i="8" l="1"/>
  <c r="I75" i="8" s="1"/>
  <c r="H75" i="8" s="1"/>
</calcChain>
</file>

<file path=xl/sharedStrings.xml><?xml version="1.0" encoding="utf-8"?>
<sst xmlns="http://schemas.openxmlformats.org/spreadsheetml/2006/main" count="849" uniqueCount="228">
  <si>
    <r>
      <t>System</t>
    </r>
    <r>
      <rPr>
        <sz val="12"/>
        <rFont val="Aptos Display"/>
        <family val="2"/>
      </rPr>
      <t> </t>
    </r>
  </si>
  <si>
    <r>
      <t>Observe</t>
    </r>
    <r>
      <rPr>
        <sz val="12"/>
        <rFont val="Aptos Display"/>
        <family val="2"/>
      </rPr>
      <t> </t>
    </r>
  </si>
  <si>
    <r>
      <t>Orient</t>
    </r>
    <r>
      <rPr>
        <sz val="12"/>
        <rFont val="Aptos Display"/>
        <family val="2"/>
      </rPr>
      <t> </t>
    </r>
  </si>
  <si>
    <r>
      <t>Decide</t>
    </r>
    <r>
      <rPr>
        <sz val="12"/>
        <rFont val="Aptos Display"/>
        <family val="2"/>
      </rPr>
      <t> </t>
    </r>
  </si>
  <si>
    <r>
      <t>Act</t>
    </r>
    <r>
      <rPr>
        <sz val="12"/>
        <rFont val="Aptos Display"/>
        <family val="2"/>
      </rPr>
      <t> </t>
    </r>
  </si>
  <si>
    <r>
      <t>Crewmember #1</t>
    </r>
    <r>
      <rPr>
        <sz val="12"/>
        <rFont val="Aptos Display"/>
        <family val="2"/>
      </rPr>
      <t> </t>
    </r>
  </si>
  <si>
    <t>Physical location</t>
  </si>
  <si>
    <t>Assess viability of mission </t>
  </si>
  <si>
    <t>Follow path </t>
  </si>
  <si>
    <t>1. Drive LTV </t>
  </si>
  <si>
    <t>Health status (SE)</t>
  </si>
  <si>
    <t>Conduct science experiment </t>
  </si>
  <si>
    <t>2. Transport cargo </t>
  </si>
  <si>
    <t>RQ  1 Structural</t>
  </si>
  <si>
    <t>Proceed or abort mission </t>
  </si>
  <si>
    <t>CHANGE # CREW MEMBERS from 2 to 3</t>
  </si>
  <si>
    <t>LTV AUTONOMY LEVEL CONFIGURATIONS</t>
  </si>
  <si>
    <t>LTV AUTONOMY AUTHORITY SWAP</t>
  </si>
  <si>
    <r>
      <t>Crewmember #2</t>
    </r>
    <r>
      <rPr>
        <sz val="12"/>
        <rFont val="Aptos Display"/>
        <family val="2"/>
      </rPr>
      <t> </t>
    </r>
  </si>
  <si>
    <t>Physical location </t>
  </si>
  <si>
    <t>Deploy science equipment </t>
  </si>
  <si>
    <t>Health status (SE)</t>
  </si>
  <si>
    <t>Transport cargo </t>
  </si>
  <si>
    <t>RQ 2 Tuning</t>
  </si>
  <si>
    <t>At higher autonomy levels</t>
  </si>
  <si>
    <r>
      <t>LTV</t>
    </r>
    <r>
      <rPr>
        <sz val="12"/>
        <rFont val="Aptos Display"/>
        <family val="2"/>
      </rPr>
      <t> </t>
    </r>
  </si>
  <si>
    <t>Physical location
Vehicle health</t>
  </si>
  <si>
    <t>Route planning </t>
  </si>
  <si>
    <t>Transport crew members and science equipment </t>
  </si>
  <si>
    <t>Fine-Tune autonomy parameters at higher levels</t>
  </si>
  <si>
    <t>Crew life support </t>
  </si>
  <si>
    <r>
      <t>HLS</t>
    </r>
    <r>
      <rPr>
        <sz val="12"/>
        <rFont val="Aptos Display"/>
        <family val="2"/>
      </rPr>
      <t> </t>
    </r>
  </si>
  <si>
    <t>Receive crew health data </t>
  </si>
  <si>
    <t>Transmit data to Ground Control </t>
  </si>
  <si>
    <t>Crew support and safety </t>
  </si>
  <si>
    <t>Monitor system health </t>
  </si>
  <si>
    <t>Transmit data to crew </t>
  </si>
  <si>
    <r>
      <t>Ground Control</t>
    </r>
    <r>
      <rPr>
        <sz val="12"/>
        <rFont val="Aptos Display"/>
        <family val="2"/>
      </rPr>
      <t> </t>
    </r>
  </si>
  <si>
    <t>Crew health </t>
  </si>
  <si>
    <t>Mission coordination </t>
  </si>
  <si>
    <t>Mission guidance </t>
  </si>
  <si>
    <t>Support crew transport to/from Moon </t>
  </si>
  <si>
    <t>System status </t>
  </si>
  <si>
    <t>Navigation </t>
  </si>
  <si>
    <t>Emergency protocols </t>
  </si>
  <si>
    <t>Location </t>
  </si>
  <si>
    <t>Debris management </t>
  </si>
  <si>
    <r>
      <t>Science Equipment</t>
    </r>
    <r>
      <rPr>
        <sz val="12"/>
        <rFont val="Aptos Display"/>
        <family val="2"/>
      </rPr>
      <t> </t>
    </r>
  </si>
  <si>
    <t>Sample collection </t>
  </si>
  <si>
    <t>THIS SHEET IS REFERENCED; CHANGE WITH CAUTION</t>
  </si>
  <si>
    <t>SOD</t>
  </si>
  <si>
    <t>SOURCE</t>
  </si>
  <si>
    <t>Self Effectiveness (80% base)</t>
  </si>
  <si>
    <t>Crew1_Obs</t>
  </si>
  <si>
    <t>B</t>
  </si>
  <si>
    <t>Crew1_Ori</t>
  </si>
  <si>
    <t>Crew1_Dec</t>
  </si>
  <si>
    <t>Crew1_Act</t>
  </si>
  <si>
    <t>Crew2_Obs</t>
  </si>
  <si>
    <t>Crew2_Ori</t>
  </si>
  <si>
    <t>Crew2_Dec</t>
  </si>
  <si>
    <t>Crew2_Act</t>
  </si>
  <si>
    <t>Crew3_Obs</t>
  </si>
  <si>
    <t>Crew3_Ori</t>
  </si>
  <si>
    <t>Crew3_Dec</t>
  </si>
  <si>
    <t>Crew3_Act</t>
  </si>
  <si>
    <t>LTV_Obs</t>
  </si>
  <si>
    <t>D</t>
  </si>
  <si>
    <t>LTV_Ori</t>
  </si>
  <si>
    <t>LTV_Dec</t>
  </si>
  <si>
    <t>LTV_Act</t>
  </si>
  <si>
    <t>HLS_Obs</t>
  </si>
  <si>
    <t>HLS_Ori</t>
  </si>
  <si>
    <t>HLS_Act</t>
  </si>
  <si>
    <t>GC_Obs</t>
  </si>
  <si>
    <t>GC_Ori</t>
  </si>
  <si>
    <t>GC_Dec</t>
  </si>
  <si>
    <t>GC_Act</t>
  </si>
  <si>
    <t>SciEq_Act</t>
  </si>
  <si>
    <t>DESINTATION</t>
  </si>
  <si>
    <t>COD</t>
  </si>
  <si>
    <t>DESTINATION</t>
  </si>
  <si>
    <t>IOD</t>
  </si>
  <si>
    <t>Network Event/Condition Group</t>
  </si>
  <si>
    <t>CONDITION SWITCH</t>
  </si>
  <si>
    <t>X%</t>
  </si>
  <si>
    <t>Metric Affected</t>
  </si>
  <si>
    <t>System(s) Affected
[Edges: source | destination]</t>
  </si>
  <si>
    <t>Default Value (0%)</t>
  </si>
  <si>
    <t>Transient (X%) Value</t>
  </si>
  <si>
    <t>Switched Value</t>
  </si>
  <si>
    <t>Condition Applied (100%) Value</t>
  </si>
  <si>
    <t>Add Crew #3</t>
  </si>
  <si>
    <t>SE; alpha</t>
  </si>
  <si>
    <t>SE; beta</t>
  </si>
  <si>
    <t>Sci_EqAct</t>
  </si>
  <si>
    <t>LTV Autonomy (FA)</t>
  </si>
  <si>
    <t>SE; value</t>
  </si>
  <si>
    <t>LTV Autonomy (Obs, Ori, D)</t>
  </si>
  <si>
    <t>*NOTE: On the table, (Obs, Ori, A) corresponds to our default network</t>
  </si>
  <si>
    <t>Regolith Build-up</t>
  </si>
  <si>
    <t>SE; Beta</t>
  </si>
  <si>
    <t>SE; Type</t>
  </si>
  <si>
    <t>SODA Baseline Input - AAE 560 Moon-to-Mars HMT SoS</t>
  </si>
  <si>
    <t>SOURCE: Abstraction-phase SoS (Report_Abstraction.docx, OODA decomposition table)</t>
  </si>
  <si>
    <t>NODES: 25  (OODA feeders + host node per constituent system)</t>
  </si>
  <si>
    <t>EDGES: 56  (intra-system OODA chain + feeder-&gt;host + inter-system)</t>
  </si>
  <si>
    <t>SCHEMA (per SODA_GUI_Manual.docx, matches SODAtest_Large.xlsx):</t>
  </si>
  <si>
    <t xml:space="preserve">  n       : number of nodes (A1)</t>
  </si>
  <si>
    <t xml:space="preserve">  SOD     : n x n Strength of Dependency, alpha in [0,1]</t>
  </si>
  <si>
    <t xml:space="preserve">  COD     : n x n Criticality of Dependency, beta in [0,100]</t>
  </si>
  <si>
    <t xml:space="preserve">  IOD     : n x n Impact of Dependency, gamma in [1,100]</t>
  </si>
  <si>
    <t xml:space="preserve">  SE      : col A type (D/U/B), col B v1, col C v2</t>
  </si>
  <si>
    <t xml:space="preserve">  labels  : node names</t>
  </si>
  <si>
    <t>Matrix convention: entry (i,j) is the dependency of node j on node i</t>
  </si>
  <si>
    <t>(feeder i -&gt; receiver j). Row i nonzeros = what node i feeds.</t>
  </si>
  <si>
    <t>Column j nonzeros = what node j depends on. Columns of all zeros = root</t>
  </si>
  <si>
    <t>nodes whose operability equals their self-effectiveness.</t>
  </si>
  <si>
    <t>NETWORK IS A DAG (verified by topological sort). SODA.p and SODAcycle.m both accept it.</t>
  </si>
  <si>
    <t>EDGE PARAMETER ASSIGNMENT: each edge is labeled with one of the 9 standard</t>
  </si>
  <si>
    <t>curve archetypes (see 'The 9 Standard Curves.png'):</t>
  </si>
  <si>
    <t xml:space="preserve">  SOD in {0.1 low, 0.4 med, 0.9 high}</t>
  </si>
  <si>
    <t xml:space="preserve">  COD in { 20 low,  50 med, 100 high}</t>
  </si>
  <si>
    <t xml:space="preserve">  IOD in { 10 low,  40 med,  90 high}</t>
  </si>
  <si>
    <t>Archetypes used in this baseline:</t>
  </si>
  <si>
    <t>Archetype</t>
  </si>
  <si>
    <t>Count</t>
  </si>
  <si>
    <t>LLM</t>
  </si>
  <si>
    <t>LML</t>
  </si>
  <si>
    <t>LMH</t>
  </si>
  <si>
    <t>MMM</t>
  </si>
  <si>
    <t>LHL</t>
  </si>
  <si>
    <t>MHM</t>
  </si>
  <si>
    <t>MHH</t>
  </si>
  <si>
    <t>HHL</t>
  </si>
  <si>
    <t>HHH</t>
  </si>
  <si>
    <t>EDGE LIST (with rationale):</t>
  </si>
  <si>
    <t>#</t>
  </si>
  <si>
    <t>feeder</t>
  </si>
  <si>
    <t>receiver</t>
  </si>
  <si>
    <t>curve</t>
  </si>
  <si>
    <t>rationale</t>
  </si>
  <si>
    <t>SA feeds crew orientation/assessment</t>
  </si>
  <si>
    <t>Orient feeds decide (mission assessment)</t>
  </si>
  <si>
    <t>Decision drives execution</t>
  </si>
  <si>
    <t>Orient feeds decide</t>
  </si>
  <si>
    <t>Location sensing feeds route planning</t>
  </si>
  <si>
    <t>Route plan executed by actuation</t>
  </si>
  <si>
    <t>Monitoring feeds data relay</t>
  </si>
  <si>
    <t>Relay informs crew-support actions</t>
  </si>
  <si>
    <t>Telemetry feeds coord/nav</t>
  </si>
  <si>
    <t>Nav informs guidance decisions</t>
  </si>
  <si>
    <t>Guidance enables transport support</t>
  </si>
  <si>
    <t>Crew1</t>
  </si>
  <si>
    <t>Observe contributes to crew operability</t>
  </si>
  <si>
    <t>Orient contributes</t>
  </si>
  <si>
    <t>Decide contributes (high criticality)</t>
  </si>
  <si>
    <t>Act is the observable crew output</t>
  </si>
  <si>
    <t>Crew2</t>
  </si>
  <si>
    <t>Observe contributes</t>
  </si>
  <si>
    <t>Decide contributes</t>
  </si>
  <si>
    <t>LTV</t>
  </si>
  <si>
    <t>Obs contributes to LTV operability</t>
  </si>
  <si>
    <t>Route planning contributes</t>
  </si>
  <si>
    <t>Act (transport) is LTV's primary output</t>
  </si>
  <si>
    <t>HLS</t>
  </si>
  <si>
    <t>Monitoring contributes</t>
  </si>
  <si>
    <t>Relay contributes</t>
  </si>
  <si>
    <t>Safety/support is HLS primary output</t>
  </si>
  <si>
    <t>GC</t>
  </si>
  <si>
    <t>Telemetry contributes</t>
  </si>
  <si>
    <t>Coord/nav contributes</t>
  </si>
  <si>
    <t>Guidance contributes</t>
  </si>
  <si>
    <t>Mission support is GC primary output</t>
  </si>
  <si>
    <t>ScienceEq</t>
  </si>
  <si>
    <t>Sample collection IS the science output</t>
  </si>
  <si>
    <t>HLS relays comms / health telemetry to crew</t>
  </si>
  <si>
    <t>HLS relays crew+system data to Ground Ctrl</t>
  </si>
  <si>
    <t>HLS supports crew safety (life support envelope)</t>
  </si>
  <si>
    <t>HLS supports crew safety</t>
  </si>
  <si>
    <t>Mission guidance informs crew choices (advisory)</t>
  </si>
  <si>
    <t>Mission guidance informs crew choices</t>
  </si>
  <si>
    <t>GC nav coordination informs crew orient</t>
  </si>
  <si>
    <t>GC navigation feeds LTV route planning</t>
  </si>
  <si>
    <t>Ground Control supports crew transport via HLS</t>
  </si>
  <si>
    <t>LTV shares loc/sensor data with crew SA</t>
  </si>
  <si>
    <t>LTV-owned route plan informs crew decisions</t>
  </si>
  <si>
    <t>Crew needs LTV transport to reach distant sites</t>
  </si>
  <si>
    <t>LTV transports science equipment to sites</t>
  </si>
  <si>
    <t>Crew1 manually drives LTV (baseline)</t>
  </si>
  <si>
    <t>Crew2 assists with LTV operations</t>
  </si>
  <si>
    <t>Crew1 decision contributes to sampling plan</t>
  </si>
  <si>
    <t>Crew2 (primary science) decides sampling</t>
  </si>
  <si>
    <t>Crew2 deploys / operates science equipment</t>
  </si>
  <si>
    <t>Crew1 supports sample handling</t>
  </si>
  <si>
    <t>NODE LIST (SE values and grouping):</t>
  </si>
  <si>
    <t>id</t>
  </si>
  <si>
    <t>label</t>
  </si>
  <si>
    <t>SE</t>
  </si>
  <si>
    <t>group</t>
  </si>
  <si>
    <t>Crew1 - Observe (location, health)</t>
  </si>
  <si>
    <t>Crew1 - Orient (assess mission)</t>
  </si>
  <si>
    <t>Crew1 - Decide (path, science, proceed)</t>
  </si>
  <si>
    <t>Crew1 - Act (drive LTV, transport cargo)</t>
  </si>
  <si>
    <t>Crew1 - HOST (overall crew-1 effectiveness)</t>
  </si>
  <si>
    <t>Crew2 - Observe (location, health)</t>
  </si>
  <si>
    <t>Crew2 - Orient (assess mission)</t>
  </si>
  <si>
    <t>Crew2 - Decide (path, science, proceed)</t>
  </si>
  <si>
    <t>Crew2 - Act (deploy science, transport)</t>
  </si>
  <si>
    <t>Crew2 - HOST (overall crew-2 effectiveness)</t>
  </si>
  <si>
    <t>LTV - Observe (physical location)</t>
  </si>
  <si>
    <t>LTV - Orient (route planning)</t>
  </si>
  <si>
    <t>LTV - Act (transport, life support)</t>
  </si>
  <si>
    <t>LTV - HOST (overall LTV effectiveness)</t>
  </si>
  <si>
    <t>HLS - Observe (monitor crew + system health)</t>
  </si>
  <si>
    <t>HLS - Orient (transmit data to GC and crew)</t>
  </si>
  <si>
    <t>HLS - Act (crew support and safety)</t>
  </si>
  <si>
    <t>HLS - HOST (overall HLS effectiveness)</t>
  </si>
  <si>
    <t>GC - Observe (health, status, loc, debris)</t>
  </si>
  <si>
    <t>GC - Orient (mission coord, navigation)</t>
  </si>
  <si>
    <t>GC - Decide (guidance, emergency protocols)</t>
  </si>
  <si>
    <t>GC - Act (support transport to/from Moon)</t>
  </si>
  <si>
    <t>GC - HOST (overall Ground Control effect.)</t>
  </si>
  <si>
    <t>ScienceEq - Act (sample collection)</t>
  </si>
  <si>
    <t>SciEq</t>
  </si>
  <si>
    <t>ScienceEq - HOST (overall science yield)</t>
  </si>
  <si>
    <t>ROOTS (no incoming edges; Op = SE):</t>
  </si>
  <si>
    <t>LEAVES / END NODES (no outgoing edges; mission outputs):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</si>
</sst>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Aptos Display"/>
      <family val="2"/>
    </font>
    <font>
      <sz val="12"/>
      <name val="Aptos Display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8" xfId="0" applyBorder="1" applyAlignment="1">
      <alignment vertical="top" wrapText="1"/>
    </xf>
    <xf numFmtId="0" fontId="7" fillId="0" borderId="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vertical="top" wrapText="1"/>
    </xf>
    <xf numFmtId="0" fontId="7" fillId="0" borderId="8" xfId="0" applyFont="1" applyBorder="1" applyAlignment="1">
      <alignment horizontal="left" vertical="center" wrapText="1"/>
    </xf>
    <xf numFmtId="0" fontId="0" fillId="0" borderId="14" xfId="0" applyBorder="1" applyAlignment="1">
      <alignment vertical="top" wrapText="1"/>
    </xf>
    <xf numFmtId="0" fontId="7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vertical="center" wrapText="1" readingOrder="1"/>
    </xf>
    <xf numFmtId="0" fontId="7" fillId="0" borderId="18" xfId="0" applyFont="1" applyBorder="1" applyAlignment="1">
      <alignment horizontal="left" vertical="center" wrapText="1" indent="2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5" borderId="0" xfId="0" applyFont="1" applyFill="1"/>
    <xf numFmtId="0" fontId="4" fillId="0" borderId="0" xfId="0" applyFont="1"/>
    <xf numFmtId="0" fontId="8" fillId="5" borderId="0" xfId="0" applyFont="1" applyFill="1"/>
    <xf numFmtId="0" fontId="4" fillId="0" borderId="0" xfId="0" applyFont="1" applyAlignment="1">
      <alignment textRotation="90"/>
    </xf>
    <xf numFmtId="0" fontId="4" fillId="0" borderId="0" xfId="0" applyFont="1" applyAlignment="1">
      <alignment horizontal="center" vertical="center" textRotation="90"/>
    </xf>
    <xf numFmtId="0" fontId="4" fillId="5" borderId="0" xfId="0" applyFont="1" applyFill="1" applyAlignment="1">
      <alignment horizontal="center" vertical="center" textRotation="90"/>
    </xf>
    <xf numFmtId="0" fontId="8" fillId="5" borderId="0" xfId="0" applyFont="1" applyFill="1" applyAlignment="1">
      <alignment horizontal="center" vertical="center" textRotation="90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9" fillId="0" borderId="0" xfId="0" applyFont="1"/>
    <xf numFmtId="0" fontId="0" fillId="5" borderId="0" xfId="0" applyFill="1"/>
    <xf numFmtId="0" fontId="0" fillId="6" borderId="0" xfId="0" applyFill="1"/>
    <xf numFmtId="0" fontId="0" fillId="0" borderId="22" xfId="0" applyBorder="1" applyAlignment="1">
      <alignment horizontal="center" vertical="center"/>
    </xf>
    <xf numFmtId="0" fontId="10" fillId="0" borderId="0" xfId="0" applyFont="1"/>
    <xf numFmtId="0" fontId="4" fillId="7" borderId="5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/>
    <xf numFmtId="0" fontId="0" fillId="7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14</xdr:row>
      <xdr:rowOff>0</xdr:rowOff>
    </xdr:from>
    <xdr:to>
      <xdr:col>21</xdr:col>
      <xdr:colOff>311236</xdr:colOff>
      <xdr:row>31</xdr:row>
      <xdr:rowOff>24114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0BF4A-DD5C-4624-A163-6E3EB91D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0506" y="4846899"/>
          <a:ext cx="10728452" cy="3761772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7</xdr:row>
      <xdr:rowOff>123825</xdr:rowOff>
    </xdr:from>
    <xdr:to>
      <xdr:col>16</xdr:col>
      <xdr:colOff>330374</xdr:colOff>
      <xdr:row>13</xdr:row>
      <xdr:rowOff>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5D8218-718A-4EBB-849D-8252CDC84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9525" y="2324100"/>
          <a:ext cx="4330874" cy="3410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E867-918D-40DF-A94E-D094B513072D}">
  <dimension ref="A1:G20"/>
  <sheetViews>
    <sheetView topLeftCell="F4" zoomScale="79" workbookViewId="0">
      <selection activeCell="G5" sqref="G5"/>
    </sheetView>
  </sheetViews>
  <sheetFormatPr defaultRowHeight="15"/>
  <cols>
    <col min="1" max="1" width="29" customWidth="1"/>
    <col min="2" max="2" width="22.5703125" customWidth="1"/>
    <col min="3" max="3" width="16.140625" customWidth="1"/>
    <col min="4" max="4" width="23.28515625" customWidth="1"/>
    <col min="5" max="5" width="22" customWidth="1"/>
    <col min="7" max="7" width="27.140625" customWidth="1"/>
  </cols>
  <sheetData>
    <row r="1" spans="1:7" ht="15.75" customHeight="1">
      <c r="A1" s="73" t="s">
        <v>0</v>
      </c>
      <c r="B1" s="74" t="s">
        <v>1</v>
      </c>
      <c r="C1" s="74" t="s">
        <v>2</v>
      </c>
      <c r="D1" s="74" t="s">
        <v>3</v>
      </c>
      <c r="E1" s="68" t="s">
        <v>4</v>
      </c>
    </row>
    <row r="2" spans="1:7" ht="15.75" thickBot="1">
      <c r="A2" s="58"/>
      <c r="B2" s="75"/>
      <c r="C2" s="75"/>
      <c r="D2" s="75"/>
      <c r="E2" s="69"/>
    </row>
    <row r="3" spans="1:7" ht="15.75">
      <c r="A3" s="57" t="s">
        <v>5</v>
      </c>
      <c r="B3" s="10" t="s">
        <v>6</v>
      </c>
      <c r="C3" s="70" t="s">
        <v>7</v>
      </c>
      <c r="D3" s="10" t="s">
        <v>8</v>
      </c>
      <c r="E3" s="15" t="s">
        <v>9</v>
      </c>
    </row>
    <row r="4" spans="1:7" ht="31.5">
      <c r="A4" s="63"/>
      <c r="B4" s="11" t="s">
        <v>10</v>
      </c>
      <c r="C4" s="71"/>
      <c r="D4" s="11" t="s">
        <v>11</v>
      </c>
      <c r="E4" s="16" t="s">
        <v>12</v>
      </c>
      <c r="G4" s="20" t="s">
        <v>13</v>
      </c>
    </row>
    <row r="5" spans="1:7" ht="31.5">
      <c r="A5" s="63"/>
      <c r="B5" s="12"/>
      <c r="C5" s="71"/>
      <c r="D5" s="11" t="s">
        <v>14</v>
      </c>
      <c r="E5" s="17"/>
      <c r="G5" t="s">
        <v>15</v>
      </c>
    </row>
    <row r="6" spans="1:7" ht="15.75">
      <c r="A6" s="63"/>
      <c r="B6" s="12"/>
      <c r="C6" s="71"/>
      <c r="D6" s="12"/>
      <c r="E6" s="18"/>
      <c r="G6" t="s">
        <v>16</v>
      </c>
    </row>
    <row r="7" spans="1:7" ht="15.75" thickBot="1">
      <c r="A7" s="58"/>
      <c r="B7" s="9"/>
      <c r="C7" s="72"/>
      <c r="D7" s="9"/>
      <c r="E7" s="14"/>
      <c r="G7" t="s">
        <v>17</v>
      </c>
    </row>
    <row r="8" spans="1:7" ht="31.5">
      <c r="A8" s="57" t="s">
        <v>18</v>
      </c>
      <c r="B8" s="10" t="s">
        <v>19</v>
      </c>
      <c r="C8" s="70" t="s">
        <v>7</v>
      </c>
      <c r="D8" s="10" t="s">
        <v>8</v>
      </c>
      <c r="E8" s="15" t="s">
        <v>20</v>
      </c>
    </row>
    <row r="9" spans="1:7" ht="31.5">
      <c r="A9" s="63"/>
      <c r="B9" s="11" t="s">
        <v>21</v>
      </c>
      <c r="C9" s="71"/>
      <c r="D9" s="11" t="s">
        <v>11</v>
      </c>
      <c r="E9" s="16" t="s">
        <v>22</v>
      </c>
      <c r="G9" s="20" t="s">
        <v>23</v>
      </c>
    </row>
    <row r="10" spans="1:7" ht="32.25" thickBot="1">
      <c r="A10" s="58"/>
      <c r="B10" s="9"/>
      <c r="C10" s="72"/>
      <c r="D10" s="13" t="s">
        <v>14</v>
      </c>
      <c r="E10" s="14"/>
      <c r="G10" t="s">
        <v>24</v>
      </c>
    </row>
    <row r="11" spans="1:7" ht="47.25">
      <c r="A11" s="57" t="s">
        <v>25</v>
      </c>
      <c r="B11" s="70" t="s">
        <v>26</v>
      </c>
      <c r="C11" s="70" t="s">
        <v>27</v>
      </c>
      <c r="D11" s="59"/>
      <c r="E11" s="15" t="s">
        <v>28</v>
      </c>
      <c r="G11" t="s">
        <v>29</v>
      </c>
    </row>
    <row r="12" spans="1:7" ht="16.5" thickBot="1">
      <c r="A12" s="58"/>
      <c r="B12" s="72"/>
      <c r="C12" s="72"/>
      <c r="D12" s="60"/>
      <c r="E12" s="19" t="s">
        <v>30</v>
      </c>
    </row>
    <row r="13" spans="1:7" ht="47.25">
      <c r="A13" s="57" t="s">
        <v>31</v>
      </c>
      <c r="B13" s="10" t="s">
        <v>32</v>
      </c>
      <c r="C13" s="10" t="s">
        <v>33</v>
      </c>
      <c r="D13" s="59"/>
      <c r="E13" s="61" t="s">
        <v>34</v>
      </c>
    </row>
    <row r="14" spans="1:7" ht="32.25" thickBot="1">
      <c r="A14" s="58"/>
      <c r="B14" s="13" t="s">
        <v>35</v>
      </c>
      <c r="C14" s="13" t="s">
        <v>36</v>
      </c>
      <c r="D14" s="60"/>
      <c r="E14" s="62"/>
    </row>
    <row r="15" spans="1:7" ht="31.5">
      <c r="A15" s="57" t="s">
        <v>37</v>
      </c>
      <c r="B15" s="10" t="s">
        <v>38</v>
      </c>
      <c r="C15" s="10" t="s">
        <v>39</v>
      </c>
      <c r="D15" s="10" t="s">
        <v>40</v>
      </c>
      <c r="E15" s="61" t="s">
        <v>41</v>
      </c>
    </row>
    <row r="16" spans="1:7" ht="15.75">
      <c r="A16" s="63"/>
      <c r="B16" s="11" t="s">
        <v>42</v>
      </c>
      <c r="C16" s="11" t="s">
        <v>43</v>
      </c>
      <c r="D16" s="11" t="s">
        <v>44</v>
      </c>
      <c r="E16" s="64"/>
    </row>
    <row r="17" spans="1:5" ht="15.75">
      <c r="A17" s="63"/>
      <c r="B17" s="11" t="s">
        <v>45</v>
      </c>
      <c r="C17" s="12"/>
      <c r="D17" s="12"/>
      <c r="E17" s="64"/>
    </row>
    <row r="18" spans="1:5" ht="16.5" thickBot="1">
      <c r="A18" s="58"/>
      <c r="B18" s="13" t="s">
        <v>46</v>
      </c>
      <c r="C18" s="9"/>
      <c r="D18" s="9"/>
      <c r="E18" s="62"/>
    </row>
    <row r="19" spans="1:5" ht="32.25" customHeight="1">
      <c r="A19" s="57" t="s">
        <v>47</v>
      </c>
      <c r="B19" s="59"/>
      <c r="C19" s="59"/>
      <c r="D19" s="59"/>
      <c r="E19" s="61" t="s">
        <v>48</v>
      </c>
    </row>
    <row r="20" spans="1:5">
      <c r="A20" s="65"/>
      <c r="B20" s="66"/>
      <c r="C20" s="66"/>
      <c r="D20" s="66"/>
      <c r="E20" s="67"/>
    </row>
  </sheetData>
  <mergeCells count="23">
    <mergeCell ref="E1:E2"/>
    <mergeCell ref="A3:A7"/>
    <mergeCell ref="C3:C7"/>
    <mergeCell ref="D11:D12"/>
    <mergeCell ref="A1:A2"/>
    <mergeCell ref="B1:B2"/>
    <mergeCell ref="C1:C2"/>
    <mergeCell ref="D1:D2"/>
    <mergeCell ref="A8:A10"/>
    <mergeCell ref="C8:C10"/>
    <mergeCell ref="A11:A12"/>
    <mergeCell ref="B11:B12"/>
    <mergeCell ref="C11:C12"/>
    <mergeCell ref="A19:A20"/>
    <mergeCell ref="B19:B20"/>
    <mergeCell ref="C19:C20"/>
    <mergeCell ref="D19:D20"/>
    <mergeCell ref="E19:E20"/>
    <mergeCell ref="A13:A14"/>
    <mergeCell ref="D13:D14"/>
    <mergeCell ref="E13:E14"/>
    <mergeCell ref="A15:A18"/>
    <mergeCell ref="E15:E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DE3-0321-437C-A1E3-0559D7CA7837}">
  <dimension ref="A1:AE84"/>
  <sheetViews>
    <sheetView topLeftCell="A29" zoomScaleNormal="100" workbookViewId="0">
      <selection activeCell="B31" sqref="B31"/>
    </sheetView>
  </sheetViews>
  <sheetFormatPr defaultRowHeight="15"/>
  <cols>
    <col min="1" max="9" width="3.7109375" customWidth="1"/>
    <col min="10" max="13" width="3.7109375" style="21" customWidth="1"/>
    <col min="14" max="15" width="3.7109375" customWidth="1"/>
    <col min="16" max="16" width="3.7109375" style="21" customWidth="1"/>
    <col min="17" max="25" width="3.7109375" customWidth="1"/>
    <col min="26" max="26" width="3.5703125" customWidth="1"/>
    <col min="27" max="27" width="13.7109375" style="22" customWidth="1"/>
    <col min="29" max="29" width="6.28515625" customWidth="1"/>
  </cols>
  <sheetData>
    <row r="1" spans="1:31" ht="18.75">
      <c r="A1" s="34" t="s">
        <v>49</v>
      </c>
    </row>
    <row r="2" spans="1:31">
      <c r="A2" t="s">
        <v>50</v>
      </c>
      <c r="AA2" s="32" t="s">
        <v>51</v>
      </c>
      <c r="AC2" s="33" t="s">
        <v>52</v>
      </c>
    </row>
    <row r="3" spans="1:31">
      <c r="B3" s="28">
        <v>0</v>
      </c>
      <c r="C3" s="29">
        <v>0.9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30">
        <v>0</v>
      </c>
      <c r="K3" s="30">
        <v>0</v>
      </c>
      <c r="L3" s="30">
        <v>0</v>
      </c>
      <c r="M3" s="30">
        <v>0</v>
      </c>
      <c r="N3" s="29">
        <v>0</v>
      </c>
      <c r="O3" s="29">
        <v>0</v>
      </c>
      <c r="P3" s="30">
        <v>0</v>
      </c>
      <c r="Q3" s="29">
        <v>0</v>
      </c>
      <c r="R3" s="29">
        <v>1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AA3" s="22" t="s">
        <v>53</v>
      </c>
      <c r="AC3" t="s">
        <v>54</v>
      </c>
      <c r="AD3">
        <v>5</v>
      </c>
      <c r="AE3">
        <v>2</v>
      </c>
    </row>
    <row r="4" spans="1:31">
      <c r="B4" s="29">
        <v>0</v>
      </c>
      <c r="C4" s="28">
        <v>0</v>
      </c>
      <c r="D4" s="29">
        <v>0.9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30">
        <v>0</v>
      </c>
      <c r="K4" s="30">
        <v>0</v>
      </c>
      <c r="L4" s="30">
        <v>0</v>
      </c>
      <c r="M4" s="30">
        <v>0</v>
      </c>
      <c r="N4" s="29">
        <v>0</v>
      </c>
      <c r="O4" s="29">
        <v>0</v>
      </c>
      <c r="P4" s="30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AA4" s="22" t="s">
        <v>55</v>
      </c>
      <c r="AC4" t="s">
        <v>54</v>
      </c>
      <c r="AD4">
        <v>5</v>
      </c>
      <c r="AE4">
        <v>2</v>
      </c>
    </row>
    <row r="5" spans="1:31">
      <c r="B5" s="29">
        <v>0</v>
      </c>
      <c r="C5" s="29">
        <v>0</v>
      </c>
      <c r="D5" s="28">
        <v>0</v>
      </c>
      <c r="E5" s="29">
        <v>0.9</v>
      </c>
      <c r="F5" s="29">
        <v>0</v>
      </c>
      <c r="G5" s="29">
        <v>0</v>
      </c>
      <c r="H5" s="29">
        <v>0</v>
      </c>
      <c r="I5" s="29">
        <v>0</v>
      </c>
      <c r="J5" s="30">
        <v>0</v>
      </c>
      <c r="K5" s="30">
        <v>0</v>
      </c>
      <c r="L5" s="30">
        <v>0</v>
      </c>
      <c r="M5" s="30">
        <v>0</v>
      </c>
      <c r="N5" s="29">
        <v>0</v>
      </c>
      <c r="O5" s="29">
        <v>0</v>
      </c>
      <c r="P5" s="30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0.5</v>
      </c>
      <c r="AA5" s="22" t="s">
        <v>56</v>
      </c>
      <c r="AC5" t="s">
        <v>54</v>
      </c>
      <c r="AD5">
        <v>5</v>
      </c>
      <c r="AE5">
        <v>2</v>
      </c>
    </row>
    <row r="6" spans="1:31">
      <c r="B6" s="29">
        <v>0</v>
      </c>
      <c r="C6" s="29">
        <v>0</v>
      </c>
      <c r="D6" s="29">
        <v>0</v>
      </c>
      <c r="E6" s="28">
        <v>0</v>
      </c>
      <c r="F6" s="29">
        <v>0</v>
      </c>
      <c r="G6" s="29">
        <v>0</v>
      </c>
      <c r="H6" s="29">
        <v>0</v>
      </c>
      <c r="I6" s="29">
        <v>0</v>
      </c>
      <c r="J6" s="30">
        <v>0</v>
      </c>
      <c r="K6" s="30">
        <v>0</v>
      </c>
      <c r="L6" s="30">
        <v>0</v>
      </c>
      <c r="M6" s="30">
        <v>0</v>
      </c>
      <c r="N6" s="29">
        <v>0</v>
      </c>
      <c r="O6" s="29">
        <v>0</v>
      </c>
      <c r="P6" s="30">
        <v>0</v>
      </c>
      <c r="Q6" s="29">
        <v>0.9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AA6" s="22" t="s">
        <v>57</v>
      </c>
      <c r="AC6" t="s">
        <v>54</v>
      </c>
      <c r="AD6">
        <v>5</v>
      </c>
      <c r="AE6">
        <v>2</v>
      </c>
    </row>
    <row r="7" spans="1:31">
      <c r="B7" s="29">
        <v>0</v>
      </c>
      <c r="C7" s="29">
        <v>0</v>
      </c>
      <c r="D7" s="29">
        <v>0</v>
      </c>
      <c r="E7" s="29">
        <v>0</v>
      </c>
      <c r="F7" s="28">
        <v>0</v>
      </c>
      <c r="G7" s="29">
        <v>0.9</v>
      </c>
      <c r="H7" s="29">
        <v>0</v>
      </c>
      <c r="I7" s="29">
        <v>0</v>
      </c>
      <c r="J7" s="30">
        <v>0</v>
      </c>
      <c r="K7" s="30">
        <v>0</v>
      </c>
      <c r="L7" s="30">
        <v>0</v>
      </c>
      <c r="M7" s="30">
        <v>0</v>
      </c>
      <c r="N7" s="29">
        <v>0</v>
      </c>
      <c r="O7" s="29">
        <v>0</v>
      </c>
      <c r="P7" s="30">
        <v>0</v>
      </c>
      <c r="Q7" s="29">
        <v>0</v>
      </c>
      <c r="R7" s="29">
        <v>1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AA7" s="22" t="s">
        <v>58</v>
      </c>
      <c r="AC7" t="s">
        <v>54</v>
      </c>
      <c r="AD7">
        <v>5</v>
      </c>
      <c r="AE7">
        <v>2</v>
      </c>
    </row>
    <row r="8" spans="1:31"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8">
        <v>0</v>
      </c>
      <c r="H8" s="29">
        <v>0.9</v>
      </c>
      <c r="I8" s="29">
        <v>0</v>
      </c>
      <c r="J8" s="30">
        <v>0</v>
      </c>
      <c r="K8" s="30">
        <v>0</v>
      </c>
      <c r="L8" s="30">
        <v>0</v>
      </c>
      <c r="M8" s="30">
        <v>0</v>
      </c>
      <c r="N8" s="29">
        <v>0</v>
      </c>
      <c r="O8" s="29">
        <v>0</v>
      </c>
      <c r="P8" s="30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AA8" s="22" t="s">
        <v>59</v>
      </c>
      <c r="AC8" t="s">
        <v>54</v>
      </c>
      <c r="AD8">
        <v>5</v>
      </c>
      <c r="AE8">
        <v>2</v>
      </c>
    </row>
    <row r="9" spans="1:31"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8">
        <v>0</v>
      </c>
      <c r="I9" s="29">
        <v>0.9</v>
      </c>
      <c r="J9" s="30">
        <v>0</v>
      </c>
      <c r="K9" s="30">
        <v>0</v>
      </c>
      <c r="L9" s="30">
        <v>0</v>
      </c>
      <c r="M9" s="30">
        <v>0</v>
      </c>
      <c r="N9" s="29">
        <v>0</v>
      </c>
      <c r="O9" s="29">
        <v>0</v>
      </c>
      <c r="P9" s="30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0.5</v>
      </c>
      <c r="AA9" s="22" t="s">
        <v>60</v>
      </c>
      <c r="AC9" t="s">
        <v>54</v>
      </c>
      <c r="AD9">
        <v>5</v>
      </c>
      <c r="AE9">
        <v>2</v>
      </c>
    </row>
    <row r="10" spans="1:31"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8">
        <v>0</v>
      </c>
      <c r="J10" s="30">
        <v>0</v>
      </c>
      <c r="K10" s="30">
        <v>0</v>
      </c>
      <c r="L10" s="30">
        <v>0</v>
      </c>
      <c r="M10" s="30">
        <v>0</v>
      </c>
      <c r="N10" s="29">
        <v>0</v>
      </c>
      <c r="O10" s="29">
        <v>0</v>
      </c>
      <c r="P10" s="30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0.9</v>
      </c>
      <c r="AA10" s="22" t="s">
        <v>61</v>
      </c>
      <c r="AC10" t="s">
        <v>54</v>
      </c>
      <c r="AD10">
        <v>5</v>
      </c>
      <c r="AE10">
        <v>2</v>
      </c>
    </row>
    <row r="11" spans="1:31" s="21" customFormat="1"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1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AA11" s="23" t="s">
        <v>62</v>
      </c>
      <c r="AC11" s="21" t="s">
        <v>54</v>
      </c>
      <c r="AD11" s="21">
        <v>0</v>
      </c>
      <c r="AE11" s="21">
        <v>0</v>
      </c>
    </row>
    <row r="12" spans="1:31" s="21" customFormat="1"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1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AA12" s="23" t="s">
        <v>63</v>
      </c>
      <c r="AC12" s="21" t="s">
        <v>54</v>
      </c>
      <c r="AD12" s="21">
        <v>0</v>
      </c>
      <c r="AE12" s="21">
        <v>0</v>
      </c>
    </row>
    <row r="13" spans="1:31" s="21" customFormat="1"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1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AA13" s="23" t="s">
        <v>64</v>
      </c>
      <c r="AC13" s="21" t="s">
        <v>54</v>
      </c>
      <c r="AD13" s="21">
        <v>0</v>
      </c>
      <c r="AE13" s="21">
        <v>0</v>
      </c>
    </row>
    <row r="14" spans="1:31" s="21" customFormat="1"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1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AA14" s="23" t="s">
        <v>65</v>
      </c>
      <c r="AC14" s="21" t="s">
        <v>54</v>
      </c>
      <c r="AD14" s="21">
        <v>0</v>
      </c>
      <c r="AE14" s="21">
        <v>0</v>
      </c>
    </row>
    <row r="15" spans="1:31"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30">
        <v>0</v>
      </c>
      <c r="K15" s="30">
        <v>0</v>
      </c>
      <c r="L15" s="30">
        <v>0</v>
      </c>
      <c r="M15" s="30">
        <v>0</v>
      </c>
      <c r="N15" s="28">
        <v>0</v>
      </c>
      <c r="O15" s="29">
        <v>0.9</v>
      </c>
      <c r="P15" s="30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AA15" s="22" t="s">
        <v>66</v>
      </c>
      <c r="AC15" t="s">
        <v>67</v>
      </c>
      <c r="AD15" s="50">
        <v>80</v>
      </c>
    </row>
    <row r="16" spans="1:31">
      <c r="B16" s="29">
        <v>0</v>
      </c>
      <c r="C16" s="29">
        <v>0</v>
      </c>
      <c r="D16" s="29">
        <v>0.5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30">
        <v>0</v>
      </c>
      <c r="K16" s="30">
        <v>0</v>
      </c>
      <c r="L16" s="30">
        <v>0</v>
      </c>
      <c r="M16" s="30">
        <v>0</v>
      </c>
      <c r="N16" s="29">
        <v>0</v>
      </c>
      <c r="O16" s="28">
        <v>0</v>
      </c>
      <c r="P16" s="30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AA16" s="22" t="s">
        <v>68</v>
      </c>
      <c r="AC16" t="s">
        <v>67</v>
      </c>
      <c r="AD16" s="50">
        <v>80</v>
      </c>
    </row>
    <row r="17" spans="1:30" s="21" customFormat="1"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1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AA17" s="23" t="s">
        <v>69</v>
      </c>
      <c r="AC17" s="21" t="s">
        <v>67</v>
      </c>
      <c r="AD17" s="21">
        <f>'Event Register'!AI3</f>
        <v>0</v>
      </c>
    </row>
    <row r="18" spans="1:30">
      <c r="B18" s="29">
        <v>0.8</v>
      </c>
      <c r="C18" s="29">
        <v>0</v>
      </c>
      <c r="D18" s="29">
        <v>0</v>
      </c>
      <c r="E18" s="29">
        <v>0</v>
      </c>
      <c r="F18" s="29">
        <v>0.8</v>
      </c>
      <c r="G18" s="29">
        <v>0</v>
      </c>
      <c r="H18" s="29">
        <v>0</v>
      </c>
      <c r="I18" s="29">
        <v>0</v>
      </c>
      <c r="J18" s="30">
        <v>0</v>
      </c>
      <c r="K18" s="30">
        <v>0</v>
      </c>
      <c r="L18" s="30">
        <v>0</v>
      </c>
      <c r="M18" s="30">
        <v>0</v>
      </c>
      <c r="N18" s="29">
        <v>0.9</v>
      </c>
      <c r="O18" s="29">
        <v>0</v>
      </c>
      <c r="P18" s="30">
        <v>0</v>
      </c>
      <c r="Q18" s="28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0.9</v>
      </c>
      <c r="AA18" s="22" t="s">
        <v>70</v>
      </c>
      <c r="AC18" t="s">
        <v>67</v>
      </c>
      <c r="AD18" s="50">
        <v>80</v>
      </c>
    </row>
    <row r="19" spans="1:30"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30">
        <v>0</v>
      </c>
      <c r="K19" s="30">
        <v>0</v>
      </c>
      <c r="L19" s="30">
        <v>0</v>
      </c>
      <c r="M19" s="30">
        <v>0</v>
      </c>
      <c r="N19" s="29">
        <v>0</v>
      </c>
      <c r="O19" s="29">
        <v>0</v>
      </c>
      <c r="P19" s="30">
        <v>0</v>
      </c>
      <c r="Q19" s="29">
        <v>0</v>
      </c>
      <c r="R19" s="28">
        <v>0</v>
      </c>
      <c r="S19" s="29">
        <v>0.9</v>
      </c>
      <c r="T19" s="29">
        <v>0</v>
      </c>
      <c r="U19" s="29">
        <v>0.5</v>
      </c>
      <c r="V19" s="29">
        <v>0</v>
      </c>
      <c r="W19" s="29">
        <v>0</v>
      </c>
      <c r="X19" s="29">
        <v>0</v>
      </c>
      <c r="Y19" s="29">
        <v>0</v>
      </c>
      <c r="AA19" s="22" t="s">
        <v>71</v>
      </c>
      <c r="AC19" t="s">
        <v>67</v>
      </c>
      <c r="AD19">
        <v>80</v>
      </c>
    </row>
    <row r="20" spans="1:30">
      <c r="B20" s="29">
        <v>0.5</v>
      </c>
      <c r="C20" s="29">
        <v>0</v>
      </c>
      <c r="D20" s="29">
        <v>0</v>
      </c>
      <c r="E20" s="29">
        <v>0</v>
      </c>
      <c r="F20" s="29">
        <v>0.5</v>
      </c>
      <c r="G20" s="29">
        <v>0</v>
      </c>
      <c r="H20" s="29">
        <v>0</v>
      </c>
      <c r="I20" s="29">
        <v>0</v>
      </c>
      <c r="J20" s="30">
        <v>0</v>
      </c>
      <c r="K20" s="30">
        <v>0</v>
      </c>
      <c r="L20" s="30">
        <v>0</v>
      </c>
      <c r="M20" s="30">
        <v>0</v>
      </c>
      <c r="N20" s="29">
        <v>0</v>
      </c>
      <c r="O20" s="29">
        <v>0</v>
      </c>
      <c r="P20" s="30">
        <v>0</v>
      </c>
      <c r="Q20" s="29">
        <v>0</v>
      </c>
      <c r="R20" s="29">
        <v>0</v>
      </c>
      <c r="S20" s="28">
        <v>0</v>
      </c>
      <c r="T20" s="29">
        <v>0.9</v>
      </c>
      <c r="U20" s="29">
        <v>0.5</v>
      </c>
      <c r="V20" s="29">
        <v>0</v>
      </c>
      <c r="W20" s="29">
        <v>0</v>
      </c>
      <c r="X20" s="29">
        <v>0</v>
      </c>
      <c r="Y20" s="29">
        <v>0</v>
      </c>
      <c r="AA20" s="22" t="s">
        <v>72</v>
      </c>
      <c r="AC20" t="s">
        <v>67</v>
      </c>
      <c r="AD20">
        <v>80</v>
      </c>
    </row>
    <row r="21" spans="1:30">
      <c r="B21" s="29">
        <v>0.2</v>
      </c>
      <c r="C21" s="29">
        <v>0</v>
      </c>
      <c r="D21" s="29">
        <v>0</v>
      </c>
      <c r="E21" s="29">
        <v>0</v>
      </c>
      <c r="F21" s="29">
        <v>0.2</v>
      </c>
      <c r="G21" s="29">
        <v>0</v>
      </c>
      <c r="H21" s="29">
        <v>0</v>
      </c>
      <c r="I21" s="29">
        <v>0</v>
      </c>
      <c r="J21" s="30">
        <v>0</v>
      </c>
      <c r="K21" s="30">
        <v>0</v>
      </c>
      <c r="L21" s="30">
        <v>0</v>
      </c>
      <c r="M21" s="30">
        <v>0</v>
      </c>
      <c r="N21" s="29">
        <v>0</v>
      </c>
      <c r="O21" s="29">
        <v>0</v>
      </c>
      <c r="P21" s="30">
        <v>0</v>
      </c>
      <c r="Q21" s="29">
        <v>0</v>
      </c>
      <c r="R21" s="29">
        <v>0</v>
      </c>
      <c r="S21" s="29">
        <v>0</v>
      </c>
      <c r="T21" s="28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AA21" s="22" t="s">
        <v>73</v>
      </c>
      <c r="AC21" t="s">
        <v>67</v>
      </c>
      <c r="AD21">
        <v>80</v>
      </c>
    </row>
    <row r="22" spans="1:30"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30">
        <v>0</v>
      </c>
      <c r="K22" s="30">
        <v>0</v>
      </c>
      <c r="L22" s="30">
        <v>0</v>
      </c>
      <c r="M22" s="30">
        <v>0</v>
      </c>
      <c r="N22" s="29">
        <v>0</v>
      </c>
      <c r="O22" s="29">
        <v>0</v>
      </c>
      <c r="P22" s="30">
        <v>0</v>
      </c>
      <c r="Q22" s="29">
        <v>0</v>
      </c>
      <c r="R22" s="29">
        <v>0</v>
      </c>
      <c r="S22" s="29">
        <v>0</v>
      </c>
      <c r="T22" s="29">
        <v>0</v>
      </c>
      <c r="U22" s="28">
        <v>0</v>
      </c>
      <c r="V22" s="29">
        <v>0.9</v>
      </c>
      <c r="W22" s="29">
        <v>0</v>
      </c>
      <c r="X22" s="29">
        <v>0</v>
      </c>
      <c r="Y22" s="29">
        <v>0</v>
      </c>
      <c r="AA22" s="22" t="s">
        <v>74</v>
      </c>
      <c r="AC22" t="s">
        <v>67</v>
      </c>
      <c r="AD22">
        <v>80</v>
      </c>
    </row>
    <row r="23" spans="1:30"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30">
        <v>0</v>
      </c>
      <c r="K23" s="30">
        <v>0</v>
      </c>
      <c r="L23" s="30">
        <v>0</v>
      </c>
      <c r="M23" s="30">
        <v>0</v>
      </c>
      <c r="N23" s="29">
        <v>0</v>
      </c>
      <c r="O23" s="29">
        <v>0</v>
      </c>
      <c r="P23" s="30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8">
        <v>0</v>
      </c>
      <c r="W23" s="29">
        <v>0.9</v>
      </c>
      <c r="X23" s="29">
        <v>0</v>
      </c>
      <c r="Y23" s="29">
        <v>0</v>
      </c>
      <c r="AA23" s="22" t="s">
        <v>75</v>
      </c>
      <c r="AC23" t="s">
        <v>67</v>
      </c>
      <c r="AD23">
        <v>80</v>
      </c>
    </row>
    <row r="24" spans="1:30"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30">
        <v>0</v>
      </c>
      <c r="K24" s="30">
        <v>0</v>
      </c>
      <c r="L24" s="30">
        <v>0</v>
      </c>
      <c r="M24" s="30">
        <v>0</v>
      </c>
      <c r="N24" s="29">
        <v>0</v>
      </c>
      <c r="O24" s="29">
        <v>0</v>
      </c>
      <c r="P24" s="30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8">
        <v>0</v>
      </c>
      <c r="X24" s="29">
        <v>0.9</v>
      </c>
      <c r="Y24" s="29">
        <v>0</v>
      </c>
      <c r="AA24" s="22" t="s">
        <v>76</v>
      </c>
      <c r="AC24" t="s">
        <v>67</v>
      </c>
      <c r="AD24">
        <v>80</v>
      </c>
    </row>
    <row r="25" spans="1:30"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30">
        <v>0</v>
      </c>
      <c r="K25" s="30">
        <v>0</v>
      </c>
      <c r="L25" s="30">
        <v>0</v>
      </c>
      <c r="M25" s="30">
        <v>0</v>
      </c>
      <c r="N25" s="29">
        <v>0</v>
      </c>
      <c r="O25" s="29">
        <v>0</v>
      </c>
      <c r="P25" s="30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8">
        <v>0</v>
      </c>
      <c r="Y25" s="29">
        <v>0</v>
      </c>
      <c r="AA25" s="22" t="s">
        <v>77</v>
      </c>
      <c r="AC25" t="s">
        <v>67</v>
      </c>
      <c r="AD25">
        <v>80</v>
      </c>
    </row>
    <row r="26" spans="1:30"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30">
        <v>0</v>
      </c>
      <c r="K26" s="30">
        <v>0</v>
      </c>
      <c r="L26" s="30">
        <v>0</v>
      </c>
      <c r="M26" s="30">
        <v>0</v>
      </c>
      <c r="N26" s="29">
        <v>0</v>
      </c>
      <c r="O26" s="29">
        <v>0</v>
      </c>
      <c r="P26" s="30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8">
        <v>0</v>
      </c>
      <c r="AA26" s="22" t="s">
        <v>78</v>
      </c>
      <c r="AC26" t="s">
        <v>67</v>
      </c>
      <c r="AD26">
        <v>80</v>
      </c>
    </row>
    <row r="28" spans="1:30" s="24" customFormat="1" ht="69">
      <c r="A28" s="25" t="s">
        <v>79</v>
      </c>
      <c r="B28" s="25" t="s">
        <v>53</v>
      </c>
      <c r="C28" s="25" t="s">
        <v>55</v>
      </c>
      <c r="D28" s="25" t="s">
        <v>56</v>
      </c>
      <c r="E28" s="25" t="s">
        <v>57</v>
      </c>
      <c r="F28" s="25" t="s">
        <v>58</v>
      </c>
      <c r="G28" s="25" t="s">
        <v>59</v>
      </c>
      <c r="H28" s="25" t="s">
        <v>60</v>
      </c>
      <c r="I28" s="25" t="s">
        <v>61</v>
      </c>
      <c r="J28" s="26" t="s">
        <v>62</v>
      </c>
      <c r="K28" s="26" t="s">
        <v>63</v>
      </c>
      <c r="L28" s="26" t="s">
        <v>64</v>
      </c>
      <c r="M28" s="26" t="s">
        <v>65</v>
      </c>
      <c r="N28" s="25" t="s">
        <v>66</v>
      </c>
      <c r="O28" s="25" t="s">
        <v>68</v>
      </c>
      <c r="P28" s="27" t="s">
        <v>69</v>
      </c>
      <c r="Q28" s="25" t="s">
        <v>70</v>
      </c>
      <c r="R28" s="25" t="s">
        <v>71</v>
      </c>
      <c r="S28" s="25" t="s">
        <v>72</v>
      </c>
      <c r="T28" s="25" t="s">
        <v>73</v>
      </c>
      <c r="U28" s="25" t="s">
        <v>74</v>
      </c>
      <c r="V28" s="25" t="s">
        <v>75</v>
      </c>
      <c r="W28" s="25" t="s">
        <v>76</v>
      </c>
      <c r="X28" s="25" t="s">
        <v>77</v>
      </c>
      <c r="Y28" s="25" t="s">
        <v>78</v>
      </c>
    </row>
    <row r="29" spans="1:30" s="24" customFormat="1">
      <c r="A29" s="25"/>
      <c r="B29" s="25"/>
      <c r="C29" s="25"/>
      <c r="D29" s="25"/>
      <c r="E29" s="25"/>
      <c r="F29" s="25"/>
      <c r="G29" s="25"/>
      <c r="H29" s="25"/>
      <c r="I29" s="25"/>
      <c r="J29" s="26"/>
      <c r="K29" s="26"/>
      <c r="L29" s="26"/>
      <c r="M29" s="26"/>
      <c r="N29" s="25"/>
      <c r="O29" s="25"/>
      <c r="P29" s="27"/>
      <c r="Q29" s="25"/>
      <c r="R29" s="25"/>
      <c r="S29" s="25"/>
      <c r="T29" s="25"/>
      <c r="U29" s="25"/>
      <c r="V29" s="25"/>
      <c r="W29" s="25"/>
      <c r="X29" s="25"/>
      <c r="Y29" s="25"/>
    </row>
    <row r="30" spans="1:30">
      <c r="A30" t="s">
        <v>80</v>
      </c>
    </row>
    <row r="31" spans="1:30">
      <c r="B31" s="28">
        <v>0</v>
      </c>
      <c r="C31" s="29">
        <v>100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30">
        <v>0</v>
      </c>
      <c r="K31" s="30">
        <v>0</v>
      </c>
      <c r="L31" s="30">
        <v>0</v>
      </c>
      <c r="M31" s="30">
        <v>0</v>
      </c>
      <c r="N31" s="29">
        <v>0</v>
      </c>
      <c r="O31" s="29">
        <v>0</v>
      </c>
      <c r="P31" s="30">
        <v>0</v>
      </c>
      <c r="Q31" s="29">
        <v>0</v>
      </c>
      <c r="R31" s="29">
        <v>100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AA31" s="22" t="s">
        <v>53</v>
      </c>
    </row>
    <row r="32" spans="1:30">
      <c r="B32" s="29">
        <v>0</v>
      </c>
      <c r="C32" s="28">
        <v>0</v>
      </c>
      <c r="D32" s="29">
        <v>100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30">
        <v>0</v>
      </c>
      <c r="K32" s="30">
        <v>0</v>
      </c>
      <c r="L32" s="30">
        <v>0</v>
      </c>
      <c r="M32" s="30">
        <v>0</v>
      </c>
      <c r="N32" s="29">
        <v>0</v>
      </c>
      <c r="O32" s="29">
        <v>0</v>
      </c>
      <c r="P32" s="30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AA32" s="22" t="s">
        <v>55</v>
      </c>
    </row>
    <row r="33" spans="2:27">
      <c r="B33" s="29">
        <v>0</v>
      </c>
      <c r="C33" s="29">
        <v>0</v>
      </c>
      <c r="D33" s="28">
        <v>0</v>
      </c>
      <c r="E33" s="29">
        <v>100</v>
      </c>
      <c r="F33" s="29">
        <v>0</v>
      </c>
      <c r="G33" s="29">
        <v>0</v>
      </c>
      <c r="H33" s="29">
        <v>0</v>
      </c>
      <c r="I33" s="29">
        <v>0</v>
      </c>
      <c r="J33" s="30">
        <v>0</v>
      </c>
      <c r="K33" s="30">
        <v>0</v>
      </c>
      <c r="L33" s="30">
        <v>0</v>
      </c>
      <c r="M33" s="30">
        <v>0</v>
      </c>
      <c r="N33" s="29">
        <v>0</v>
      </c>
      <c r="O33" s="29">
        <v>0</v>
      </c>
      <c r="P33" s="30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50</v>
      </c>
      <c r="AA33" s="22" t="s">
        <v>56</v>
      </c>
    </row>
    <row r="34" spans="2:27">
      <c r="B34" s="29">
        <v>0</v>
      </c>
      <c r="C34" s="29">
        <v>0</v>
      </c>
      <c r="D34" s="29">
        <v>0</v>
      </c>
      <c r="E34" s="28">
        <v>0</v>
      </c>
      <c r="F34" s="29">
        <v>0</v>
      </c>
      <c r="G34" s="29">
        <v>0</v>
      </c>
      <c r="H34" s="29">
        <v>0</v>
      </c>
      <c r="I34" s="29">
        <v>0</v>
      </c>
      <c r="J34" s="30">
        <v>0</v>
      </c>
      <c r="K34" s="30">
        <v>0</v>
      </c>
      <c r="L34" s="30">
        <v>0</v>
      </c>
      <c r="M34" s="30">
        <v>0</v>
      </c>
      <c r="N34" s="29">
        <v>0</v>
      </c>
      <c r="O34" s="29">
        <v>0</v>
      </c>
      <c r="P34" s="30">
        <v>0</v>
      </c>
      <c r="Q34" s="29">
        <v>100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AA34" s="22" t="s">
        <v>57</v>
      </c>
    </row>
    <row r="35" spans="2:27">
      <c r="B35" s="29">
        <v>0</v>
      </c>
      <c r="C35" s="29">
        <v>0</v>
      </c>
      <c r="D35" s="29">
        <v>0</v>
      </c>
      <c r="E35" s="29">
        <v>0</v>
      </c>
      <c r="F35" s="28">
        <v>0</v>
      </c>
      <c r="G35" s="29">
        <v>100</v>
      </c>
      <c r="H35" s="29">
        <v>0</v>
      </c>
      <c r="I35" s="29">
        <v>0</v>
      </c>
      <c r="J35" s="30">
        <v>0</v>
      </c>
      <c r="K35" s="30">
        <v>0</v>
      </c>
      <c r="L35" s="30">
        <v>0</v>
      </c>
      <c r="M35" s="30">
        <v>0</v>
      </c>
      <c r="N35" s="29">
        <v>0</v>
      </c>
      <c r="O35" s="29">
        <v>0</v>
      </c>
      <c r="P35" s="30">
        <v>0</v>
      </c>
      <c r="Q35" s="29">
        <v>0</v>
      </c>
      <c r="R35" s="29">
        <v>100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AA35" s="22" t="s">
        <v>58</v>
      </c>
    </row>
    <row r="36" spans="2:27">
      <c r="B36" s="29">
        <v>0</v>
      </c>
      <c r="C36" s="29">
        <v>0</v>
      </c>
      <c r="D36" s="29">
        <v>0</v>
      </c>
      <c r="E36" s="29">
        <v>0</v>
      </c>
      <c r="F36" s="29">
        <v>0</v>
      </c>
      <c r="G36" s="28">
        <v>0</v>
      </c>
      <c r="H36" s="29">
        <v>100</v>
      </c>
      <c r="I36" s="29">
        <v>0</v>
      </c>
      <c r="J36" s="30">
        <v>0</v>
      </c>
      <c r="K36" s="30">
        <v>0</v>
      </c>
      <c r="L36" s="30">
        <v>0</v>
      </c>
      <c r="M36" s="30">
        <v>0</v>
      </c>
      <c r="N36" s="29">
        <v>0</v>
      </c>
      <c r="O36" s="29">
        <v>0</v>
      </c>
      <c r="P36" s="30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AA36" s="22" t="s">
        <v>59</v>
      </c>
    </row>
    <row r="37" spans="2:27"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8">
        <v>0</v>
      </c>
      <c r="I37" s="29">
        <v>100</v>
      </c>
      <c r="J37" s="30">
        <v>0</v>
      </c>
      <c r="K37" s="30">
        <v>0</v>
      </c>
      <c r="L37" s="30">
        <v>0</v>
      </c>
      <c r="M37" s="30">
        <v>0</v>
      </c>
      <c r="N37" s="29">
        <v>0</v>
      </c>
      <c r="O37" s="29">
        <v>0</v>
      </c>
      <c r="P37" s="30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50</v>
      </c>
      <c r="AA37" s="22" t="s">
        <v>60</v>
      </c>
    </row>
    <row r="38" spans="2:27">
      <c r="B38" s="29">
        <v>0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8">
        <v>0</v>
      </c>
      <c r="J38" s="30">
        <v>0</v>
      </c>
      <c r="K38" s="30">
        <v>0</v>
      </c>
      <c r="L38" s="30">
        <v>0</v>
      </c>
      <c r="M38" s="30">
        <v>0</v>
      </c>
      <c r="N38" s="29">
        <v>0</v>
      </c>
      <c r="O38" s="29">
        <v>0</v>
      </c>
      <c r="P38" s="30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100</v>
      </c>
      <c r="AA38" s="22" t="s">
        <v>61</v>
      </c>
    </row>
    <row r="39" spans="2:27"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1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21"/>
      <c r="AA39" s="23" t="s">
        <v>62</v>
      </c>
    </row>
    <row r="40" spans="2:27"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1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21"/>
      <c r="AA40" s="23" t="s">
        <v>63</v>
      </c>
    </row>
    <row r="41" spans="2:27">
      <c r="B41" s="30">
        <v>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1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21"/>
      <c r="AA41" s="23" t="s">
        <v>64</v>
      </c>
    </row>
    <row r="42" spans="2:27"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1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21"/>
      <c r="AA42" s="23" t="s">
        <v>65</v>
      </c>
    </row>
    <row r="43" spans="2:27">
      <c r="B43" s="29">
        <v>0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30">
        <v>0</v>
      </c>
      <c r="K43" s="30">
        <v>0</v>
      </c>
      <c r="L43" s="30">
        <v>0</v>
      </c>
      <c r="M43" s="30">
        <v>0</v>
      </c>
      <c r="N43" s="28">
        <v>0</v>
      </c>
      <c r="O43" s="29">
        <v>100</v>
      </c>
      <c r="P43" s="30">
        <v>0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AA43" s="22" t="s">
        <v>66</v>
      </c>
    </row>
    <row r="44" spans="2:27">
      <c r="B44" s="29">
        <v>0</v>
      </c>
      <c r="C44" s="29">
        <v>0</v>
      </c>
      <c r="D44" s="29">
        <v>50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30">
        <v>0</v>
      </c>
      <c r="K44" s="30">
        <v>0</v>
      </c>
      <c r="L44" s="30">
        <v>0</v>
      </c>
      <c r="M44" s="30">
        <v>0</v>
      </c>
      <c r="N44" s="29">
        <v>0</v>
      </c>
      <c r="O44" s="28">
        <v>0</v>
      </c>
      <c r="P44" s="30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AA44" s="22" t="s">
        <v>68</v>
      </c>
    </row>
    <row r="45" spans="2:27"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1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21"/>
      <c r="AA45" s="23" t="s">
        <v>69</v>
      </c>
    </row>
    <row r="46" spans="2:27">
      <c r="B46" s="29">
        <v>90</v>
      </c>
      <c r="C46" s="29">
        <v>0</v>
      </c>
      <c r="D46" s="29">
        <v>0</v>
      </c>
      <c r="E46" s="29">
        <v>0</v>
      </c>
      <c r="F46" s="29">
        <v>90</v>
      </c>
      <c r="G46" s="29">
        <v>0</v>
      </c>
      <c r="H46" s="29">
        <v>0</v>
      </c>
      <c r="I46" s="29">
        <v>0</v>
      </c>
      <c r="J46" s="30">
        <v>0</v>
      </c>
      <c r="K46" s="30">
        <v>0</v>
      </c>
      <c r="L46" s="30">
        <v>0</v>
      </c>
      <c r="M46" s="30">
        <v>0</v>
      </c>
      <c r="N46" s="29">
        <v>100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100</v>
      </c>
      <c r="AA46" s="22" t="s">
        <v>70</v>
      </c>
    </row>
    <row r="47" spans="2:27">
      <c r="B47" s="29">
        <v>0</v>
      </c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30">
        <v>0</v>
      </c>
      <c r="K47" s="30">
        <v>0</v>
      </c>
      <c r="L47" s="30">
        <v>0</v>
      </c>
      <c r="M47" s="30">
        <v>0</v>
      </c>
      <c r="N47" s="29">
        <v>0</v>
      </c>
      <c r="O47" s="29">
        <v>0</v>
      </c>
      <c r="P47" s="30">
        <v>0</v>
      </c>
      <c r="Q47" s="29">
        <v>0</v>
      </c>
      <c r="R47" s="28">
        <v>0</v>
      </c>
      <c r="S47" s="29">
        <v>100</v>
      </c>
      <c r="T47" s="29">
        <v>0</v>
      </c>
      <c r="U47" s="29">
        <v>50</v>
      </c>
      <c r="V47" s="29">
        <v>0</v>
      </c>
      <c r="W47" s="29">
        <v>0</v>
      </c>
      <c r="X47" s="29">
        <v>0</v>
      </c>
      <c r="Y47" s="29">
        <v>0</v>
      </c>
      <c r="AA47" s="22" t="s">
        <v>71</v>
      </c>
    </row>
    <row r="48" spans="2:27">
      <c r="B48" s="29">
        <v>80</v>
      </c>
      <c r="C48" s="29">
        <v>0</v>
      </c>
      <c r="D48" s="29">
        <v>0</v>
      </c>
      <c r="E48" s="29">
        <v>0</v>
      </c>
      <c r="F48" s="29">
        <v>80</v>
      </c>
      <c r="G48" s="29">
        <v>0</v>
      </c>
      <c r="H48" s="29">
        <v>0</v>
      </c>
      <c r="I48" s="29">
        <v>0</v>
      </c>
      <c r="J48" s="30">
        <v>0</v>
      </c>
      <c r="K48" s="30">
        <v>0</v>
      </c>
      <c r="L48" s="30">
        <v>0</v>
      </c>
      <c r="M48" s="30">
        <v>0</v>
      </c>
      <c r="N48" s="29">
        <v>0</v>
      </c>
      <c r="O48" s="29">
        <v>0</v>
      </c>
      <c r="P48" s="30">
        <v>0</v>
      </c>
      <c r="Q48" s="29">
        <v>0</v>
      </c>
      <c r="R48" s="29">
        <v>0</v>
      </c>
      <c r="S48" s="28">
        <v>0</v>
      </c>
      <c r="T48" s="29">
        <v>100</v>
      </c>
      <c r="U48" s="29">
        <v>50</v>
      </c>
      <c r="V48" s="29">
        <v>0</v>
      </c>
      <c r="W48" s="29">
        <v>0</v>
      </c>
      <c r="X48" s="29">
        <v>0</v>
      </c>
      <c r="Y48" s="29">
        <v>0</v>
      </c>
      <c r="AA48" s="22" t="s">
        <v>72</v>
      </c>
    </row>
    <row r="49" spans="1:27">
      <c r="B49" s="29">
        <v>50</v>
      </c>
      <c r="C49" s="29">
        <v>0</v>
      </c>
      <c r="D49" s="29">
        <v>0</v>
      </c>
      <c r="E49" s="29">
        <v>0</v>
      </c>
      <c r="F49" s="29">
        <v>50</v>
      </c>
      <c r="G49" s="29">
        <v>0</v>
      </c>
      <c r="H49" s="29">
        <v>0</v>
      </c>
      <c r="I49" s="29">
        <v>0</v>
      </c>
      <c r="J49" s="30">
        <v>0</v>
      </c>
      <c r="K49" s="30">
        <v>0</v>
      </c>
      <c r="L49" s="30">
        <v>0</v>
      </c>
      <c r="M49" s="30">
        <v>0</v>
      </c>
      <c r="N49" s="29">
        <v>0</v>
      </c>
      <c r="O49" s="29">
        <v>0</v>
      </c>
      <c r="P49" s="30">
        <v>0</v>
      </c>
      <c r="Q49" s="29">
        <v>0</v>
      </c>
      <c r="R49" s="29">
        <v>0</v>
      </c>
      <c r="S49" s="29">
        <v>0</v>
      </c>
      <c r="T49" s="28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AA49" s="22" t="s">
        <v>73</v>
      </c>
    </row>
    <row r="50" spans="1:27"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30">
        <v>0</v>
      </c>
      <c r="K50" s="30">
        <v>0</v>
      </c>
      <c r="L50" s="30">
        <v>0</v>
      </c>
      <c r="M50" s="30">
        <v>0</v>
      </c>
      <c r="N50" s="29">
        <v>0</v>
      </c>
      <c r="O50" s="29">
        <v>0</v>
      </c>
      <c r="P50" s="30">
        <v>0</v>
      </c>
      <c r="Q50" s="29">
        <v>0</v>
      </c>
      <c r="R50" s="29">
        <v>0</v>
      </c>
      <c r="S50" s="29">
        <v>0</v>
      </c>
      <c r="T50" s="29">
        <v>0</v>
      </c>
      <c r="U50" s="28">
        <v>0</v>
      </c>
      <c r="V50" s="29">
        <v>100</v>
      </c>
      <c r="W50" s="29">
        <v>0</v>
      </c>
      <c r="X50" s="29">
        <v>0</v>
      </c>
      <c r="Y50" s="29">
        <v>0</v>
      </c>
      <c r="AA50" s="22" t="s">
        <v>74</v>
      </c>
    </row>
    <row r="51" spans="1:27">
      <c r="B51" s="29">
        <v>0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30">
        <v>0</v>
      </c>
      <c r="K51" s="30">
        <v>0</v>
      </c>
      <c r="L51" s="30">
        <v>0</v>
      </c>
      <c r="M51" s="30">
        <v>0</v>
      </c>
      <c r="N51" s="29">
        <v>0</v>
      </c>
      <c r="O51" s="29">
        <v>0</v>
      </c>
      <c r="P51" s="30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8">
        <v>0</v>
      </c>
      <c r="W51" s="29">
        <v>100</v>
      </c>
      <c r="X51" s="29">
        <v>0</v>
      </c>
      <c r="Y51" s="29">
        <v>0</v>
      </c>
      <c r="AA51" s="22" t="s">
        <v>75</v>
      </c>
    </row>
    <row r="52" spans="1:27">
      <c r="B52" s="29">
        <v>0</v>
      </c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30">
        <v>0</v>
      </c>
      <c r="K52" s="30">
        <v>0</v>
      </c>
      <c r="L52" s="30">
        <v>0</v>
      </c>
      <c r="M52" s="30">
        <v>0</v>
      </c>
      <c r="N52" s="29">
        <v>0</v>
      </c>
      <c r="O52" s="29">
        <v>0</v>
      </c>
      <c r="P52" s="30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8">
        <v>0</v>
      </c>
      <c r="X52" s="29">
        <v>100</v>
      </c>
      <c r="Y52" s="29">
        <v>0</v>
      </c>
      <c r="AA52" s="22" t="s">
        <v>76</v>
      </c>
    </row>
    <row r="53" spans="1:27">
      <c r="B53" s="29">
        <v>0</v>
      </c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30">
        <v>0</v>
      </c>
      <c r="K53" s="30">
        <v>0</v>
      </c>
      <c r="L53" s="30">
        <v>0</v>
      </c>
      <c r="M53" s="30">
        <v>0</v>
      </c>
      <c r="N53" s="29">
        <v>0</v>
      </c>
      <c r="O53" s="29">
        <v>0</v>
      </c>
      <c r="P53" s="30">
        <v>0</v>
      </c>
      <c r="Q53" s="29">
        <v>0</v>
      </c>
      <c r="R53" s="29">
        <v>0</v>
      </c>
      <c r="S53" s="29">
        <v>0</v>
      </c>
      <c r="T53" s="29">
        <v>50</v>
      </c>
      <c r="U53" s="29">
        <v>0</v>
      </c>
      <c r="V53" s="29">
        <v>0</v>
      </c>
      <c r="W53" s="29">
        <v>0</v>
      </c>
      <c r="X53" s="28">
        <v>0</v>
      </c>
      <c r="Y53" s="29">
        <v>0</v>
      </c>
      <c r="AA53" s="22" t="s">
        <v>77</v>
      </c>
    </row>
    <row r="54" spans="1:27"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30">
        <v>0</v>
      </c>
      <c r="K54" s="30">
        <v>0</v>
      </c>
      <c r="L54" s="30">
        <v>0</v>
      </c>
      <c r="M54" s="30">
        <v>0</v>
      </c>
      <c r="N54" s="29">
        <v>0</v>
      </c>
      <c r="O54" s="29">
        <v>0</v>
      </c>
      <c r="P54" s="30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8">
        <v>0</v>
      </c>
      <c r="AA54" s="22" t="s">
        <v>78</v>
      </c>
    </row>
    <row r="56" spans="1:27" s="24" customFormat="1" ht="69">
      <c r="A56" s="24" t="s">
        <v>81</v>
      </c>
      <c r="B56" s="25" t="s">
        <v>53</v>
      </c>
      <c r="C56" s="25" t="s">
        <v>55</v>
      </c>
      <c r="D56" s="25" t="s">
        <v>56</v>
      </c>
      <c r="E56" s="25" t="s">
        <v>57</v>
      </c>
      <c r="F56" s="25" t="s">
        <v>58</v>
      </c>
      <c r="G56" s="25" t="s">
        <v>59</v>
      </c>
      <c r="H56" s="25" t="s">
        <v>60</v>
      </c>
      <c r="I56" s="25" t="s">
        <v>61</v>
      </c>
      <c r="J56" s="26" t="s">
        <v>62</v>
      </c>
      <c r="K56" s="26" t="s">
        <v>63</v>
      </c>
      <c r="L56" s="26" t="s">
        <v>64</v>
      </c>
      <c r="M56" s="26" t="s">
        <v>65</v>
      </c>
      <c r="N56" s="25" t="s">
        <v>66</v>
      </c>
      <c r="O56" s="25" t="s">
        <v>68</v>
      </c>
      <c r="P56" s="27" t="s">
        <v>69</v>
      </c>
      <c r="Q56" s="25" t="s">
        <v>70</v>
      </c>
      <c r="R56" s="25" t="s">
        <v>71</v>
      </c>
      <c r="S56" s="25" t="s">
        <v>72</v>
      </c>
      <c r="T56" s="25" t="s">
        <v>73</v>
      </c>
      <c r="U56" s="25" t="s">
        <v>74</v>
      </c>
      <c r="V56" s="25" t="s">
        <v>75</v>
      </c>
      <c r="W56" s="25" t="s">
        <v>76</v>
      </c>
      <c r="X56" s="25" t="s">
        <v>77</v>
      </c>
      <c r="Y56" s="25" t="s">
        <v>78</v>
      </c>
    </row>
    <row r="57" spans="1:27" s="24" customFormat="1">
      <c r="B57" s="25"/>
      <c r="C57" s="25"/>
      <c r="D57" s="25"/>
      <c r="E57" s="25"/>
      <c r="F57" s="25"/>
      <c r="G57" s="25"/>
      <c r="H57" s="25"/>
      <c r="I57" s="25"/>
      <c r="J57" s="26"/>
      <c r="K57" s="26"/>
      <c r="L57" s="26"/>
      <c r="M57" s="26"/>
      <c r="N57" s="25"/>
      <c r="O57" s="25"/>
      <c r="P57" s="27"/>
      <c r="Q57" s="25"/>
      <c r="R57" s="25"/>
      <c r="S57" s="25"/>
      <c r="T57" s="25"/>
      <c r="U57" s="25"/>
      <c r="V57" s="25"/>
      <c r="W57" s="25"/>
      <c r="X57" s="25"/>
      <c r="Y57" s="25"/>
    </row>
    <row r="58" spans="1:27">
      <c r="A58" t="s">
        <v>82</v>
      </c>
    </row>
    <row r="59" spans="1:27">
      <c r="B59" s="28">
        <v>0</v>
      </c>
      <c r="C59" s="29">
        <v>90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30">
        <v>0</v>
      </c>
      <c r="K59" s="30">
        <v>0</v>
      </c>
      <c r="L59" s="30">
        <v>0</v>
      </c>
      <c r="M59" s="30">
        <v>0</v>
      </c>
      <c r="N59" s="29">
        <v>0</v>
      </c>
      <c r="O59" s="29">
        <v>0</v>
      </c>
      <c r="P59" s="30">
        <v>0</v>
      </c>
      <c r="Q59" s="29">
        <v>0</v>
      </c>
      <c r="R59" s="29">
        <v>10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AA59" s="22" t="s">
        <v>53</v>
      </c>
    </row>
    <row r="60" spans="1:27">
      <c r="B60" s="29">
        <v>0</v>
      </c>
      <c r="C60" s="28">
        <v>0</v>
      </c>
      <c r="D60" s="29">
        <v>90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30">
        <v>0</v>
      </c>
      <c r="K60" s="30">
        <v>0</v>
      </c>
      <c r="L60" s="30">
        <v>0</v>
      </c>
      <c r="M60" s="30">
        <v>0</v>
      </c>
      <c r="N60" s="29">
        <v>0</v>
      </c>
      <c r="O60" s="29">
        <v>0</v>
      </c>
      <c r="P60" s="30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AA60" s="22" t="s">
        <v>55</v>
      </c>
    </row>
    <row r="61" spans="1:27">
      <c r="B61" s="29">
        <v>0</v>
      </c>
      <c r="C61" s="29">
        <v>0</v>
      </c>
      <c r="D61" s="28">
        <v>0</v>
      </c>
      <c r="E61" s="29">
        <v>90</v>
      </c>
      <c r="F61" s="29">
        <v>0</v>
      </c>
      <c r="G61" s="29">
        <v>0</v>
      </c>
      <c r="H61" s="29">
        <v>0</v>
      </c>
      <c r="I61" s="29">
        <v>0</v>
      </c>
      <c r="J61" s="30">
        <v>0</v>
      </c>
      <c r="K61" s="30">
        <v>0</v>
      </c>
      <c r="L61" s="30">
        <v>0</v>
      </c>
      <c r="M61" s="30">
        <v>0</v>
      </c>
      <c r="N61" s="29">
        <v>0</v>
      </c>
      <c r="O61" s="29">
        <v>0</v>
      </c>
      <c r="P61" s="30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50</v>
      </c>
      <c r="AA61" s="22" t="s">
        <v>56</v>
      </c>
    </row>
    <row r="62" spans="1:27">
      <c r="B62" s="29">
        <v>0</v>
      </c>
      <c r="C62" s="29">
        <v>0</v>
      </c>
      <c r="D62" s="29">
        <v>0</v>
      </c>
      <c r="E62" s="28">
        <v>0</v>
      </c>
      <c r="F62" s="29">
        <v>0</v>
      </c>
      <c r="G62" s="29">
        <v>0</v>
      </c>
      <c r="H62" s="29">
        <v>0</v>
      </c>
      <c r="I62" s="29">
        <v>0</v>
      </c>
      <c r="J62" s="30">
        <v>0</v>
      </c>
      <c r="K62" s="30">
        <v>0</v>
      </c>
      <c r="L62" s="30">
        <v>0</v>
      </c>
      <c r="M62" s="30">
        <v>0</v>
      </c>
      <c r="N62" s="29">
        <v>0</v>
      </c>
      <c r="O62" s="29">
        <v>0</v>
      </c>
      <c r="P62" s="30">
        <v>0</v>
      </c>
      <c r="Q62" s="29">
        <v>80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AA62" s="22" t="s">
        <v>57</v>
      </c>
    </row>
    <row r="63" spans="1:27">
      <c r="B63" s="29">
        <v>0</v>
      </c>
      <c r="C63" s="29">
        <v>0</v>
      </c>
      <c r="D63" s="29">
        <v>0</v>
      </c>
      <c r="E63" s="29">
        <v>0</v>
      </c>
      <c r="F63" s="28">
        <v>0</v>
      </c>
      <c r="G63" s="29">
        <v>90</v>
      </c>
      <c r="H63" s="29">
        <v>0</v>
      </c>
      <c r="I63" s="29">
        <v>0</v>
      </c>
      <c r="J63" s="30">
        <v>0</v>
      </c>
      <c r="K63" s="30">
        <v>0</v>
      </c>
      <c r="L63" s="30">
        <v>0</v>
      </c>
      <c r="M63" s="30">
        <v>0</v>
      </c>
      <c r="N63" s="29">
        <v>0</v>
      </c>
      <c r="O63" s="29">
        <v>0</v>
      </c>
      <c r="P63" s="30">
        <v>0</v>
      </c>
      <c r="Q63" s="29">
        <v>0</v>
      </c>
      <c r="R63" s="29">
        <v>10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AA63" s="22" t="s">
        <v>58</v>
      </c>
    </row>
    <row r="64" spans="1:27">
      <c r="B64" s="29">
        <v>0</v>
      </c>
      <c r="C64" s="29">
        <v>0</v>
      </c>
      <c r="D64" s="29">
        <v>0</v>
      </c>
      <c r="E64" s="29">
        <v>0</v>
      </c>
      <c r="F64" s="29">
        <v>0</v>
      </c>
      <c r="G64" s="28">
        <v>0</v>
      </c>
      <c r="H64" s="29">
        <v>90</v>
      </c>
      <c r="I64" s="29">
        <v>0</v>
      </c>
      <c r="J64" s="30">
        <v>0</v>
      </c>
      <c r="K64" s="30">
        <v>0</v>
      </c>
      <c r="L64" s="30">
        <v>0</v>
      </c>
      <c r="M64" s="30">
        <v>0</v>
      </c>
      <c r="N64" s="29">
        <v>0</v>
      </c>
      <c r="O64" s="29">
        <v>0</v>
      </c>
      <c r="P64" s="30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AA64" s="22" t="s">
        <v>59</v>
      </c>
    </row>
    <row r="65" spans="2:27"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8">
        <v>0</v>
      </c>
      <c r="I65" s="29">
        <v>90</v>
      </c>
      <c r="J65" s="30">
        <v>0</v>
      </c>
      <c r="K65" s="30">
        <v>0</v>
      </c>
      <c r="L65" s="30">
        <v>0</v>
      </c>
      <c r="M65" s="30">
        <v>0</v>
      </c>
      <c r="N65" s="29">
        <v>0</v>
      </c>
      <c r="O65" s="29">
        <v>0</v>
      </c>
      <c r="P65" s="30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50</v>
      </c>
      <c r="AA65" s="22" t="s">
        <v>60</v>
      </c>
    </row>
    <row r="66" spans="2:27">
      <c r="B66" s="29">
        <v>0</v>
      </c>
      <c r="C66" s="29">
        <v>0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8">
        <v>0</v>
      </c>
      <c r="J66" s="30">
        <v>0</v>
      </c>
      <c r="K66" s="30">
        <v>0</v>
      </c>
      <c r="L66" s="30">
        <v>0</v>
      </c>
      <c r="M66" s="30">
        <v>0</v>
      </c>
      <c r="N66" s="29">
        <v>0</v>
      </c>
      <c r="O66" s="29">
        <v>0</v>
      </c>
      <c r="P66" s="30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100</v>
      </c>
      <c r="AA66" s="22" t="s">
        <v>61</v>
      </c>
    </row>
    <row r="67" spans="2:27">
      <c r="B67" s="30">
        <f>B63</f>
        <v>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1">
        <v>0</v>
      </c>
      <c r="K67" s="30">
        <v>0</v>
      </c>
      <c r="L67" s="30">
        <v>0</v>
      </c>
      <c r="M67" s="30">
        <v>0</v>
      </c>
      <c r="N67" s="30">
        <f>N63</f>
        <v>0</v>
      </c>
      <c r="O67" s="30">
        <f>O63</f>
        <v>0</v>
      </c>
      <c r="P67" s="30">
        <f t="shared" ref="P67:Y67" si="0">P63</f>
        <v>0</v>
      </c>
      <c r="Q67" s="30">
        <f t="shared" si="0"/>
        <v>0</v>
      </c>
      <c r="R67" s="30">
        <v>0</v>
      </c>
      <c r="S67" s="30">
        <f t="shared" si="0"/>
        <v>0</v>
      </c>
      <c r="T67" s="30">
        <f t="shared" si="0"/>
        <v>0</v>
      </c>
      <c r="U67" s="30">
        <f t="shared" si="0"/>
        <v>0</v>
      </c>
      <c r="V67" s="30">
        <f t="shared" si="0"/>
        <v>0</v>
      </c>
      <c r="W67" s="30">
        <f t="shared" si="0"/>
        <v>0</v>
      </c>
      <c r="X67" s="30">
        <f t="shared" si="0"/>
        <v>0</v>
      </c>
      <c r="Y67" s="30">
        <f t="shared" si="0"/>
        <v>0</v>
      </c>
      <c r="Z67" s="21"/>
      <c r="AA67" s="23" t="s">
        <v>62</v>
      </c>
    </row>
    <row r="68" spans="2:27"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1">
        <v>0</v>
      </c>
      <c r="L68" s="30">
        <v>0</v>
      </c>
      <c r="M68" s="30">
        <v>0</v>
      </c>
      <c r="N68" s="30">
        <f t="shared" ref="N68:Y68" si="1">N64</f>
        <v>0</v>
      </c>
      <c r="O68" s="30">
        <f t="shared" si="1"/>
        <v>0</v>
      </c>
      <c r="P68" s="30">
        <f t="shared" si="1"/>
        <v>0</v>
      </c>
      <c r="Q68" s="30">
        <f t="shared" si="1"/>
        <v>0</v>
      </c>
      <c r="R68" s="30">
        <f t="shared" si="1"/>
        <v>0</v>
      </c>
      <c r="S68" s="30">
        <f t="shared" si="1"/>
        <v>0</v>
      </c>
      <c r="T68" s="30">
        <f t="shared" si="1"/>
        <v>0</v>
      </c>
      <c r="U68" s="30">
        <f t="shared" si="1"/>
        <v>0</v>
      </c>
      <c r="V68" s="30">
        <f t="shared" si="1"/>
        <v>0</v>
      </c>
      <c r="W68" s="30">
        <f t="shared" si="1"/>
        <v>0</v>
      </c>
      <c r="X68" s="30">
        <f t="shared" si="1"/>
        <v>0</v>
      </c>
      <c r="Y68" s="30">
        <f t="shared" si="1"/>
        <v>0</v>
      </c>
      <c r="Z68" s="21"/>
      <c r="AA68" s="23" t="s">
        <v>63</v>
      </c>
    </row>
    <row r="69" spans="2:27"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1">
        <v>0</v>
      </c>
      <c r="M69" s="30">
        <v>0</v>
      </c>
      <c r="N69" s="30">
        <f t="shared" ref="N69:X69" si="2">N65</f>
        <v>0</v>
      </c>
      <c r="O69" s="30">
        <f t="shared" si="2"/>
        <v>0</v>
      </c>
      <c r="P69" s="30">
        <f t="shared" si="2"/>
        <v>0</v>
      </c>
      <c r="Q69" s="30">
        <f t="shared" si="2"/>
        <v>0</v>
      </c>
      <c r="R69" s="30">
        <f t="shared" si="2"/>
        <v>0</v>
      </c>
      <c r="S69" s="30">
        <f t="shared" si="2"/>
        <v>0</v>
      </c>
      <c r="T69" s="30">
        <f t="shared" si="2"/>
        <v>0</v>
      </c>
      <c r="U69" s="30">
        <f t="shared" si="2"/>
        <v>0</v>
      </c>
      <c r="V69" s="30">
        <f t="shared" si="2"/>
        <v>0</v>
      </c>
      <c r="W69" s="30">
        <f t="shared" si="2"/>
        <v>0</v>
      </c>
      <c r="X69" s="30">
        <f t="shared" si="2"/>
        <v>0</v>
      </c>
      <c r="Y69" s="30">
        <v>0</v>
      </c>
      <c r="Z69" s="21"/>
      <c r="AA69" s="23" t="s">
        <v>64</v>
      </c>
    </row>
    <row r="70" spans="2:27"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1">
        <v>0</v>
      </c>
      <c r="N70" s="30">
        <f t="shared" ref="N70:X70" si="3">N66</f>
        <v>0</v>
      </c>
      <c r="O70" s="30">
        <f t="shared" si="3"/>
        <v>0</v>
      </c>
      <c r="P70" s="30">
        <f t="shared" si="3"/>
        <v>0</v>
      </c>
      <c r="Q70" s="30">
        <f t="shared" si="3"/>
        <v>0</v>
      </c>
      <c r="R70" s="30">
        <f t="shared" si="3"/>
        <v>0</v>
      </c>
      <c r="S70" s="30">
        <f t="shared" si="3"/>
        <v>0</v>
      </c>
      <c r="T70" s="30">
        <f t="shared" si="3"/>
        <v>0</v>
      </c>
      <c r="U70" s="30">
        <f t="shared" si="3"/>
        <v>0</v>
      </c>
      <c r="V70" s="30">
        <f t="shared" si="3"/>
        <v>0</v>
      </c>
      <c r="W70" s="30">
        <f t="shared" si="3"/>
        <v>0</v>
      </c>
      <c r="X70" s="30">
        <f t="shared" si="3"/>
        <v>0</v>
      </c>
      <c r="Y70" s="30">
        <v>0</v>
      </c>
      <c r="Z70" s="21"/>
      <c r="AA70" s="23" t="s">
        <v>65</v>
      </c>
    </row>
    <row r="71" spans="2:27">
      <c r="B71" s="29">
        <v>0</v>
      </c>
      <c r="C71" s="29">
        <v>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30">
        <f>F71</f>
        <v>0</v>
      </c>
      <c r="K71" s="30">
        <f t="shared" ref="K71:K82" si="4">G71</f>
        <v>0</v>
      </c>
      <c r="L71" s="30">
        <f t="shared" ref="L71:L82" si="5">H71</f>
        <v>0</v>
      </c>
      <c r="M71" s="30">
        <f t="shared" ref="M71:M82" si="6">I71</f>
        <v>0</v>
      </c>
      <c r="N71" s="28">
        <v>0</v>
      </c>
      <c r="O71" s="29">
        <v>90</v>
      </c>
      <c r="P71" s="30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AA71" s="22" t="s">
        <v>66</v>
      </c>
    </row>
    <row r="72" spans="2:27">
      <c r="B72" s="29">
        <v>0</v>
      </c>
      <c r="C72" s="29">
        <v>0</v>
      </c>
      <c r="D72" s="29">
        <v>70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30">
        <f t="shared" ref="J72:J82" si="7">F72</f>
        <v>0</v>
      </c>
      <c r="K72" s="30">
        <f t="shared" si="4"/>
        <v>0</v>
      </c>
      <c r="L72" s="30">
        <f t="shared" si="5"/>
        <v>0</v>
      </c>
      <c r="M72" s="30">
        <f t="shared" si="6"/>
        <v>0</v>
      </c>
      <c r="N72" s="29">
        <v>0</v>
      </c>
      <c r="O72" s="28">
        <v>0</v>
      </c>
      <c r="P72" s="30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AA72" s="22" t="s">
        <v>68</v>
      </c>
    </row>
    <row r="73" spans="2:27">
      <c r="B73" s="30">
        <v>0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f t="shared" si="7"/>
        <v>0</v>
      </c>
      <c r="K73" s="30">
        <f t="shared" si="4"/>
        <v>0</v>
      </c>
      <c r="L73" s="30">
        <f t="shared" si="5"/>
        <v>0</v>
      </c>
      <c r="M73" s="30">
        <f t="shared" si="6"/>
        <v>0</v>
      </c>
      <c r="N73" s="30">
        <v>0</v>
      </c>
      <c r="O73" s="30">
        <v>0</v>
      </c>
      <c r="P73" s="31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21"/>
      <c r="AA73" s="23" t="s">
        <v>69</v>
      </c>
    </row>
    <row r="74" spans="2:27">
      <c r="B74" s="29">
        <v>90</v>
      </c>
      <c r="C74" s="29">
        <v>0</v>
      </c>
      <c r="D74" s="29">
        <v>0</v>
      </c>
      <c r="E74" s="29">
        <v>0</v>
      </c>
      <c r="F74" s="29">
        <v>90</v>
      </c>
      <c r="G74" s="29">
        <v>0</v>
      </c>
      <c r="H74" s="29">
        <v>0</v>
      </c>
      <c r="I74" s="29">
        <v>0</v>
      </c>
      <c r="J74" s="30">
        <v>0</v>
      </c>
      <c r="K74" s="30">
        <f t="shared" si="4"/>
        <v>0</v>
      </c>
      <c r="L74" s="30">
        <f t="shared" si="5"/>
        <v>0</v>
      </c>
      <c r="M74" s="30">
        <f t="shared" si="6"/>
        <v>0</v>
      </c>
      <c r="N74" s="29">
        <v>90</v>
      </c>
      <c r="O74" s="29">
        <v>0</v>
      </c>
      <c r="P74" s="30">
        <v>0</v>
      </c>
      <c r="Q74" s="28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100</v>
      </c>
      <c r="AA74" s="22" t="s">
        <v>70</v>
      </c>
    </row>
    <row r="75" spans="2:27"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30">
        <f t="shared" si="7"/>
        <v>0</v>
      </c>
      <c r="K75" s="30">
        <f t="shared" si="4"/>
        <v>0</v>
      </c>
      <c r="L75" s="30">
        <f t="shared" si="5"/>
        <v>0</v>
      </c>
      <c r="M75" s="30">
        <f t="shared" si="6"/>
        <v>0</v>
      </c>
      <c r="N75" s="29">
        <v>0</v>
      </c>
      <c r="O75" s="29">
        <v>0</v>
      </c>
      <c r="P75" s="30">
        <v>0</v>
      </c>
      <c r="Q75" s="29">
        <v>0</v>
      </c>
      <c r="R75" s="28">
        <v>0</v>
      </c>
      <c r="S75" s="29">
        <v>90</v>
      </c>
      <c r="T75" s="29">
        <v>0</v>
      </c>
      <c r="U75" s="29">
        <v>80</v>
      </c>
      <c r="V75" s="29">
        <v>0</v>
      </c>
      <c r="W75" s="29">
        <v>0</v>
      </c>
      <c r="X75" s="29">
        <v>0</v>
      </c>
      <c r="Y75" s="29">
        <v>0</v>
      </c>
      <c r="AA75" s="22" t="s">
        <v>71</v>
      </c>
    </row>
    <row r="76" spans="2:27">
      <c r="B76" s="29">
        <v>50</v>
      </c>
      <c r="C76" s="29">
        <v>0</v>
      </c>
      <c r="D76" s="29">
        <v>0</v>
      </c>
      <c r="E76" s="29">
        <v>0</v>
      </c>
      <c r="F76" s="29">
        <v>50</v>
      </c>
      <c r="G76" s="29">
        <v>0</v>
      </c>
      <c r="H76" s="29">
        <v>0</v>
      </c>
      <c r="I76" s="29">
        <v>0</v>
      </c>
      <c r="J76" s="30">
        <v>0</v>
      </c>
      <c r="K76" s="30">
        <f t="shared" si="4"/>
        <v>0</v>
      </c>
      <c r="L76" s="30">
        <f t="shared" si="5"/>
        <v>0</v>
      </c>
      <c r="M76" s="30">
        <f t="shared" si="6"/>
        <v>0</v>
      </c>
      <c r="N76" s="29">
        <v>0</v>
      </c>
      <c r="O76" s="29">
        <v>0</v>
      </c>
      <c r="P76" s="30">
        <v>0</v>
      </c>
      <c r="Q76" s="29">
        <v>0</v>
      </c>
      <c r="R76" s="29">
        <v>0</v>
      </c>
      <c r="S76" s="28">
        <v>0</v>
      </c>
      <c r="T76" s="29">
        <v>90</v>
      </c>
      <c r="U76" s="29">
        <v>80</v>
      </c>
      <c r="V76" s="29">
        <v>0</v>
      </c>
      <c r="W76" s="29">
        <v>0</v>
      </c>
      <c r="X76" s="29">
        <v>0</v>
      </c>
      <c r="Y76" s="29">
        <v>0</v>
      </c>
      <c r="AA76" s="22" t="s">
        <v>72</v>
      </c>
    </row>
    <row r="77" spans="2:27">
      <c r="B77" s="29">
        <v>50</v>
      </c>
      <c r="C77" s="29">
        <v>0</v>
      </c>
      <c r="D77" s="29">
        <v>0</v>
      </c>
      <c r="E77" s="29">
        <v>0</v>
      </c>
      <c r="F77" s="29">
        <v>50</v>
      </c>
      <c r="G77" s="29">
        <v>0</v>
      </c>
      <c r="H77" s="29">
        <v>0</v>
      </c>
      <c r="I77" s="29">
        <v>0</v>
      </c>
      <c r="J77" s="30">
        <v>0</v>
      </c>
      <c r="K77" s="30">
        <f t="shared" si="4"/>
        <v>0</v>
      </c>
      <c r="L77" s="30">
        <f t="shared" si="5"/>
        <v>0</v>
      </c>
      <c r="M77" s="30">
        <f t="shared" si="6"/>
        <v>0</v>
      </c>
      <c r="N77" s="29">
        <v>0</v>
      </c>
      <c r="O77" s="29">
        <v>0</v>
      </c>
      <c r="P77" s="30">
        <v>0</v>
      </c>
      <c r="Q77" s="29">
        <v>0</v>
      </c>
      <c r="R77" s="29">
        <v>0</v>
      </c>
      <c r="S77" s="29">
        <v>0</v>
      </c>
      <c r="T77" s="28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AA77" s="22" t="s">
        <v>73</v>
      </c>
    </row>
    <row r="78" spans="2:27">
      <c r="B78" s="29">
        <v>0</v>
      </c>
      <c r="C78" s="29">
        <v>0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30">
        <v>0</v>
      </c>
      <c r="K78" s="30">
        <f t="shared" si="4"/>
        <v>0</v>
      </c>
      <c r="L78" s="30">
        <f t="shared" si="5"/>
        <v>0</v>
      </c>
      <c r="M78" s="30">
        <f t="shared" si="6"/>
        <v>0</v>
      </c>
      <c r="N78" s="29">
        <v>0</v>
      </c>
      <c r="O78" s="29">
        <v>0</v>
      </c>
      <c r="P78" s="30">
        <v>0</v>
      </c>
      <c r="Q78" s="29">
        <v>0</v>
      </c>
      <c r="R78" s="29">
        <v>0</v>
      </c>
      <c r="S78" s="29">
        <v>0</v>
      </c>
      <c r="T78" s="29">
        <v>0</v>
      </c>
      <c r="U78" s="28">
        <v>0</v>
      </c>
      <c r="V78" s="29">
        <v>90</v>
      </c>
      <c r="W78" s="29">
        <v>0</v>
      </c>
      <c r="X78" s="29">
        <v>0</v>
      </c>
      <c r="Y78" s="29">
        <v>0</v>
      </c>
      <c r="AA78" s="22" t="s">
        <v>74</v>
      </c>
    </row>
    <row r="79" spans="2:27">
      <c r="B79" s="29">
        <v>0</v>
      </c>
      <c r="C79" s="29">
        <v>0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30">
        <f t="shared" si="7"/>
        <v>0</v>
      </c>
      <c r="K79" s="30">
        <f t="shared" si="4"/>
        <v>0</v>
      </c>
      <c r="L79" s="30">
        <f t="shared" si="5"/>
        <v>0</v>
      </c>
      <c r="M79" s="30">
        <f t="shared" si="6"/>
        <v>0</v>
      </c>
      <c r="N79" s="29">
        <v>0</v>
      </c>
      <c r="O79" s="29">
        <v>0</v>
      </c>
      <c r="P79" s="30">
        <v>0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8">
        <v>0</v>
      </c>
      <c r="W79" s="29">
        <v>90</v>
      </c>
      <c r="X79" s="29">
        <v>0</v>
      </c>
      <c r="Y79" s="29">
        <v>0</v>
      </c>
      <c r="AA79" s="22" t="s">
        <v>75</v>
      </c>
    </row>
    <row r="80" spans="2:27"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30">
        <f t="shared" si="7"/>
        <v>0</v>
      </c>
      <c r="K80" s="30">
        <f t="shared" si="4"/>
        <v>0</v>
      </c>
      <c r="L80" s="30">
        <f t="shared" si="5"/>
        <v>0</v>
      </c>
      <c r="M80" s="30">
        <f t="shared" si="6"/>
        <v>0</v>
      </c>
      <c r="N80" s="29">
        <v>0</v>
      </c>
      <c r="O80" s="29">
        <v>0</v>
      </c>
      <c r="P80" s="30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8">
        <v>0</v>
      </c>
      <c r="X80" s="29">
        <v>90</v>
      </c>
      <c r="Y80" s="29">
        <v>0</v>
      </c>
      <c r="AA80" s="22" t="s">
        <v>76</v>
      </c>
    </row>
    <row r="81" spans="1:27"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30">
        <f t="shared" si="7"/>
        <v>0</v>
      </c>
      <c r="K81" s="30">
        <f t="shared" si="4"/>
        <v>0</v>
      </c>
      <c r="L81" s="30">
        <f t="shared" si="5"/>
        <v>0</v>
      </c>
      <c r="M81" s="30">
        <f t="shared" si="6"/>
        <v>0</v>
      </c>
      <c r="N81" s="29">
        <v>0</v>
      </c>
      <c r="O81" s="29">
        <v>0</v>
      </c>
      <c r="P81" s="30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8">
        <v>0</v>
      </c>
      <c r="Y81" s="29">
        <v>0</v>
      </c>
      <c r="AA81" s="22" t="s">
        <v>77</v>
      </c>
    </row>
    <row r="82" spans="1:27">
      <c r="B82" s="29">
        <v>0</v>
      </c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  <c r="I82" s="29">
        <v>0</v>
      </c>
      <c r="J82" s="30">
        <f t="shared" si="7"/>
        <v>0</v>
      </c>
      <c r="K82" s="30">
        <f t="shared" si="4"/>
        <v>0</v>
      </c>
      <c r="L82" s="30">
        <f t="shared" si="5"/>
        <v>0</v>
      </c>
      <c r="M82" s="30">
        <f t="shared" si="6"/>
        <v>0</v>
      </c>
      <c r="N82" s="29">
        <v>0</v>
      </c>
      <c r="O82" s="29">
        <v>0</v>
      </c>
      <c r="P82" s="30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8">
        <v>0</v>
      </c>
      <c r="AA82" s="22" t="s">
        <v>78</v>
      </c>
    </row>
    <row r="84" spans="1:27" s="24" customFormat="1" ht="69">
      <c r="A84" s="24" t="s">
        <v>81</v>
      </c>
      <c r="B84" s="25" t="s">
        <v>53</v>
      </c>
      <c r="C84" s="25" t="s">
        <v>55</v>
      </c>
      <c r="D84" s="25" t="s">
        <v>56</v>
      </c>
      <c r="E84" s="25" t="s">
        <v>57</v>
      </c>
      <c r="F84" s="25" t="s">
        <v>58</v>
      </c>
      <c r="G84" s="25" t="s">
        <v>59</v>
      </c>
      <c r="H84" s="25" t="s">
        <v>60</v>
      </c>
      <c r="I84" s="25" t="s">
        <v>61</v>
      </c>
      <c r="J84" s="26" t="s">
        <v>62</v>
      </c>
      <c r="K84" s="26" t="s">
        <v>63</v>
      </c>
      <c r="L84" s="26" t="s">
        <v>64</v>
      </c>
      <c r="M84" s="26" t="s">
        <v>65</v>
      </c>
      <c r="N84" s="25" t="s">
        <v>66</v>
      </c>
      <c r="O84" s="25" t="s">
        <v>68</v>
      </c>
      <c r="P84" s="27" t="s">
        <v>69</v>
      </c>
      <c r="Q84" s="25" t="s">
        <v>70</v>
      </c>
      <c r="R84" s="25" t="s">
        <v>71</v>
      </c>
      <c r="S84" s="25" t="s">
        <v>72</v>
      </c>
      <c r="T84" s="25" t="s">
        <v>73</v>
      </c>
      <c r="U84" s="25" t="s">
        <v>74</v>
      </c>
      <c r="V84" s="25" t="s">
        <v>75</v>
      </c>
      <c r="W84" s="25" t="s">
        <v>76</v>
      </c>
      <c r="X84" s="25" t="s">
        <v>77</v>
      </c>
      <c r="Y84" s="25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69B9-7CA7-4A67-B6A7-EBBCCF98A8D7}">
  <dimension ref="A1:O77"/>
  <sheetViews>
    <sheetView topLeftCell="A56" zoomScale="104" zoomScaleNormal="100" workbookViewId="0">
      <selection activeCell="C67" sqref="C67"/>
    </sheetView>
  </sheetViews>
  <sheetFormatPr defaultRowHeight="15"/>
  <cols>
    <col min="1" max="1" width="64.140625" style="4" customWidth="1"/>
    <col min="2" max="2" width="11.140625" style="55" customWidth="1"/>
    <col min="3" max="3" width="11.140625" style="53" customWidth="1"/>
    <col min="4" max="4" width="12" style="4" customWidth="1"/>
    <col min="5" max="5" width="14.28515625" style="4" customWidth="1"/>
    <col min="6" max="6" width="13.42578125" style="4" customWidth="1"/>
    <col min="7" max="7" width="11.42578125" style="4" customWidth="1"/>
    <col min="8" max="8" width="13" style="40" customWidth="1"/>
    <col min="9" max="9" width="10.42578125" style="40" hidden="1" customWidth="1"/>
    <col min="10" max="10" width="14.85546875" style="43" customWidth="1"/>
  </cols>
  <sheetData>
    <row r="1" spans="1:15" s="7" customFormat="1" ht="55.5" customHeight="1">
      <c r="A1" s="5" t="s">
        <v>83</v>
      </c>
      <c r="B1" s="46" t="s">
        <v>84</v>
      </c>
      <c r="C1" s="45" t="s">
        <v>85</v>
      </c>
      <c r="D1" s="6" t="s">
        <v>86</v>
      </c>
      <c r="E1" s="76" t="s">
        <v>87</v>
      </c>
      <c r="F1" s="77"/>
      <c r="G1" s="6" t="s">
        <v>88</v>
      </c>
      <c r="H1" s="39" t="s">
        <v>89</v>
      </c>
      <c r="I1" s="39" t="s">
        <v>90</v>
      </c>
      <c r="J1" s="42" t="s">
        <v>91</v>
      </c>
      <c r="L1" s="34" t="s">
        <v>49</v>
      </c>
    </row>
    <row r="2" spans="1:15">
      <c r="A2" s="4" t="s">
        <v>92</v>
      </c>
      <c r="B2" s="55">
        <v>1</v>
      </c>
      <c r="C2" s="53">
        <v>100</v>
      </c>
      <c r="D2" s="4" t="s">
        <v>93</v>
      </c>
      <c r="E2" s="29" t="s">
        <v>62</v>
      </c>
      <c r="G2" s="4">
        <f>'Default Network Metrics'!AD11</f>
        <v>0</v>
      </c>
      <c r="H2" s="40">
        <f t="shared" ref="H2:H35" si="0">(1-($C$2/100))*G2+($C$2/100)*I2</f>
        <v>5</v>
      </c>
      <c r="I2" s="40">
        <f t="shared" ref="I2:I35" si="1">J2*$B$2+G2*(1-$B$2)</f>
        <v>5</v>
      </c>
      <c r="J2" s="43">
        <v>5</v>
      </c>
    </row>
    <row r="3" spans="1:15">
      <c r="D3" s="4" t="s">
        <v>93</v>
      </c>
      <c r="E3" s="29" t="s">
        <v>63</v>
      </c>
      <c r="G3" s="4">
        <f>'Default Network Metrics'!AD12</f>
        <v>0</v>
      </c>
      <c r="H3" s="40">
        <f t="shared" si="0"/>
        <v>5</v>
      </c>
      <c r="I3" s="40">
        <f t="shared" si="1"/>
        <v>5</v>
      </c>
      <c r="J3" s="43">
        <v>5</v>
      </c>
    </row>
    <row r="4" spans="1:15">
      <c r="D4" s="4" t="s">
        <v>93</v>
      </c>
      <c r="E4" s="29" t="s">
        <v>64</v>
      </c>
      <c r="G4" s="4">
        <f>'Default Network Metrics'!AD13</f>
        <v>0</v>
      </c>
      <c r="H4" s="40">
        <f t="shared" si="0"/>
        <v>5</v>
      </c>
      <c r="I4" s="40">
        <f t="shared" si="1"/>
        <v>5</v>
      </c>
      <c r="J4" s="43">
        <v>5</v>
      </c>
    </row>
    <row r="5" spans="1:15">
      <c r="D5" s="4" t="s">
        <v>93</v>
      </c>
      <c r="E5" s="29" t="s">
        <v>65</v>
      </c>
      <c r="G5" s="4">
        <f>'Default Network Metrics'!AD14</f>
        <v>0</v>
      </c>
      <c r="H5" s="40">
        <f t="shared" si="0"/>
        <v>5</v>
      </c>
      <c r="I5" s="40">
        <f t="shared" si="1"/>
        <v>5</v>
      </c>
      <c r="J5" s="43">
        <v>5</v>
      </c>
      <c r="O5" s="8"/>
    </row>
    <row r="6" spans="1:15">
      <c r="D6" s="4" t="s">
        <v>94</v>
      </c>
      <c r="E6" s="29" t="s">
        <v>62</v>
      </c>
      <c r="G6" s="4">
        <f>'Default Network Metrics'!AE11</f>
        <v>0</v>
      </c>
      <c r="H6" s="40">
        <f t="shared" si="0"/>
        <v>2</v>
      </c>
      <c r="I6" s="40">
        <f t="shared" si="1"/>
        <v>2</v>
      </c>
      <c r="J6" s="43">
        <v>2</v>
      </c>
    </row>
    <row r="7" spans="1:15">
      <c r="D7" s="4" t="s">
        <v>94</v>
      </c>
      <c r="E7" s="29" t="s">
        <v>63</v>
      </c>
      <c r="G7" s="4">
        <f>'Default Network Metrics'!AE12</f>
        <v>0</v>
      </c>
      <c r="H7" s="40">
        <f t="shared" si="0"/>
        <v>2</v>
      </c>
      <c r="I7" s="40">
        <f t="shared" si="1"/>
        <v>2</v>
      </c>
      <c r="J7" s="43">
        <v>2</v>
      </c>
    </row>
    <row r="8" spans="1:15">
      <c r="D8" s="4" t="s">
        <v>94</v>
      </c>
      <c r="E8" s="29" t="s">
        <v>64</v>
      </c>
      <c r="G8" s="4">
        <f>'Default Network Metrics'!AE13</f>
        <v>0</v>
      </c>
      <c r="H8" s="40">
        <f t="shared" si="0"/>
        <v>2</v>
      </c>
      <c r="I8" s="40">
        <f t="shared" si="1"/>
        <v>2</v>
      </c>
      <c r="J8" s="43">
        <v>2</v>
      </c>
    </row>
    <row r="9" spans="1:15">
      <c r="D9" s="4" t="s">
        <v>94</v>
      </c>
      <c r="E9" s="29" t="s">
        <v>65</v>
      </c>
      <c r="G9" s="4">
        <f>'Default Network Metrics'!AE14</f>
        <v>0</v>
      </c>
      <c r="H9" s="40">
        <f t="shared" si="0"/>
        <v>2</v>
      </c>
      <c r="I9" s="40">
        <f t="shared" si="1"/>
        <v>2</v>
      </c>
      <c r="J9" s="43">
        <v>2</v>
      </c>
    </row>
    <row r="10" spans="1:15">
      <c r="D10" s="4" t="s">
        <v>50</v>
      </c>
      <c r="E10" s="29" t="s">
        <v>62</v>
      </c>
      <c r="F10" s="4" t="s">
        <v>63</v>
      </c>
      <c r="G10" s="4">
        <f>'Default Network Metrics'!K11</f>
        <v>0</v>
      </c>
      <c r="H10" s="40">
        <f t="shared" si="0"/>
        <v>0.9</v>
      </c>
      <c r="I10" s="40">
        <f t="shared" si="1"/>
        <v>0.9</v>
      </c>
      <c r="J10" s="43">
        <v>0.9</v>
      </c>
    </row>
    <row r="11" spans="1:15">
      <c r="D11" s="4" t="s">
        <v>80</v>
      </c>
      <c r="E11" s="29" t="s">
        <v>62</v>
      </c>
      <c r="F11" s="4" t="s">
        <v>63</v>
      </c>
      <c r="G11" s="4">
        <f>'Default Network Metrics'!K39</f>
        <v>0</v>
      </c>
      <c r="H11" s="40">
        <f t="shared" si="0"/>
        <v>100</v>
      </c>
      <c r="I11" s="40">
        <f t="shared" si="1"/>
        <v>100</v>
      </c>
      <c r="J11" s="43">
        <v>100</v>
      </c>
    </row>
    <row r="12" spans="1:15">
      <c r="D12" s="4" t="s">
        <v>82</v>
      </c>
      <c r="E12" s="29" t="s">
        <v>62</v>
      </c>
      <c r="F12" s="4" t="s">
        <v>63</v>
      </c>
      <c r="G12" s="4">
        <f>'Default Network Metrics'!K67</f>
        <v>0</v>
      </c>
      <c r="H12" s="40">
        <f t="shared" si="0"/>
        <v>90</v>
      </c>
      <c r="I12" s="40">
        <f t="shared" si="1"/>
        <v>90</v>
      </c>
      <c r="J12" s="43">
        <v>90</v>
      </c>
    </row>
    <row r="13" spans="1:15">
      <c r="D13" s="4" t="s">
        <v>50</v>
      </c>
      <c r="E13" s="29" t="s">
        <v>63</v>
      </c>
      <c r="F13" s="4" t="s">
        <v>64</v>
      </c>
      <c r="G13" s="4">
        <f>'Default Network Metrics'!L12</f>
        <v>0</v>
      </c>
      <c r="H13" s="40">
        <f t="shared" si="0"/>
        <v>0.9</v>
      </c>
      <c r="I13" s="40">
        <f t="shared" si="1"/>
        <v>0.9</v>
      </c>
      <c r="J13" s="43">
        <v>0.9</v>
      </c>
    </row>
    <row r="14" spans="1:15">
      <c r="D14" s="4" t="s">
        <v>80</v>
      </c>
      <c r="E14" s="29" t="s">
        <v>63</v>
      </c>
      <c r="F14" s="4" t="s">
        <v>64</v>
      </c>
      <c r="G14" s="4">
        <f>'Default Network Metrics'!L40</f>
        <v>0</v>
      </c>
      <c r="H14" s="40">
        <f t="shared" si="0"/>
        <v>100</v>
      </c>
      <c r="I14" s="40">
        <f t="shared" si="1"/>
        <v>100</v>
      </c>
      <c r="J14" s="43">
        <v>100</v>
      </c>
    </row>
    <row r="15" spans="1:15">
      <c r="D15" s="4" t="s">
        <v>82</v>
      </c>
      <c r="E15" s="29" t="s">
        <v>63</v>
      </c>
      <c r="F15" s="4" t="s">
        <v>64</v>
      </c>
      <c r="G15" s="4">
        <f>'Default Network Metrics'!L68</f>
        <v>0</v>
      </c>
      <c r="H15" s="40">
        <f t="shared" si="0"/>
        <v>90</v>
      </c>
      <c r="I15" s="40">
        <f t="shared" si="1"/>
        <v>90</v>
      </c>
      <c r="J15" s="43">
        <v>90</v>
      </c>
    </row>
    <row r="16" spans="1:15">
      <c r="D16" s="4" t="s">
        <v>50</v>
      </c>
      <c r="E16" s="29" t="s">
        <v>64</v>
      </c>
      <c r="F16" s="4" t="s">
        <v>65</v>
      </c>
      <c r="G16" s="4">
        <f>'Default Network Metrics'!M13</f>
        <v>0</v>
      </c>
      <c r="H16" s="40">
        <f t="shared" si="0"/>
        <v>0.9</v>
      </c>
      <c r="I16" s="40">
        <f t="shared" si="1"/>
        <v>0.9</v>
      </c>
      <c r="J16" s="43">
        <v>0.9</v>
      </c>
    </row>
    <row r="17" spans="4:10">
      <c r="D17" s="4" t="s">
        <v>80</v>
      </c>
      <c r="E17" s="29" t="s">
        <v>64</v>
      </c>
      <c r="F17" s="4" t="s">
        <v>65</v>
      </c>
      <c r="G17" s="4">
        <f>'Default Network Metrics'!M41</f>
        <v>0</v>
      </c>
      <c r="H17" s="40">
        <f t="shared" si="0"/>
        <v>100</v>
      </c>
      <c r="I17" s="40">
        <f t="shared" si="1"/>
        <v>100</v>
      </c>
      <c r="J17" s="43">
        <v>100</v>
      </c>
    </row>
    <row r="18" spans="4:10">
      <c r="D18" s="4" t="s">
        <v>82</v>
      </c>
      <c r="E18" s="29" t="s">
        <v>64</v>
      </c>
      <c r="F18" s="4" t="s">
        <v>65</v>
      </c>
      <c r="G18" s="4">
        <f>'Default Network Metrics'!M69</f>
        <v>0</v>
      </c>
      <c r="H18" s="40">
        <f t="shared" si="0"/>
        <v>90</v>
      </c>
      <c r="I18" s="40">
        <f t="shared" si="1"/>
        <v>90</v>
      </c>
      <c r="J18" s="43">
        <v>90</v>
      </c>
    </row>
    <row r="19" spans="4:10">
      <c r="D19" s="4" t="s">
        <v>50</v>
      </c>
      <c r="E19" s="4" t="s">
        <v>62</v>
      </c>
      <c r="F19" s="4" t="s">
        <v>71</v>
      </c>
      <c r="G19" s="4">
        <f>'Default Network Metrics'!R11</f>
        <v>0</v>
      </c>
      <c r="H19" s="40">
        <f t="shared" si="0"/>
        <v>1</v>
      </c>
      <c r="I19" s="40">
        <f t="shared" si="1"/>
        <v>1</v>
      </c>
      <c r="J19" s="43">
        <v>1</v>
      </c>
    </row>
    <row r="20" spans="4:10">
      <c r="D20" s="4" t="s">
        <v>80</v>
      </c>
      <c r="E20" s="4" t="s">
        <v>62</v>
      </c>
      <c r="F20" s="4" t="s">
        <v>71</v>
      </c>
      <c r="G20" s="4">
        <f>'Default Network Metrics'!R39</f>
        <v>0</v>
      </c>
      <c r="H20" s="40">
        <f t="shared" si="0"/>
        <v>100</v>
      </c>
      <c r="I20" s="40">
        <f t="shared" si="1"/>
        <v>100</v>
      </c>
      <c r="J20" s="43">
        <v>100</v>
      </c>
    </row>
    <row r="21" spans="4:10">
      <c r="D21" s="4" t="s">
        <v>82</v>
      </c>
      <c r="E21" s="4" t="s">
        <v>62</v>
      </c>
      <c r="F21" s="4" t="s">
        <v>71</v>
      </c>
      <c r="G21" s="4">
        <f>'Default Network Metrics'!R67</f>
        <v>0</v>
      </c>
      <c r="H21" s="40">
        <f t="shared" si="0"/>
        <v>10</v>
      </c>
      <c r="I21" s="40">
        <f t="shared" si="1"/>
        <v>10</v>
      </c>
      <c r="J21" s="43">
        <v>10</v>
      </c>
    </row>
    <row r="22" spans="4:10">
      <c r="D22" s="4" t="s">
        <v>50</v>
      </c>
      <c r="E22" s="4" t="s">
        <v>64</v>
      </c>
      <c r="F22" s="4" t="s">
        <v>95</v>
      </c>
      <c r="G22" s="4">
        <f>'Default Network Metrics'!Y13</f>
        <v>0</v>
      </c>
      <c r="H22" s="40">
        <f t="shared" si="0"/>
        <v>0.5</v>
      </c>
      <c r="I22" s="40">
        <f t="shared" si="1"/>
        <v>0.5</v>
      </c>
      <c r="J22" s="43">
        <v>0.5</v>
      </c>
    </row>
    <row r="23" spans="4:10">
      <c r="D23" s="4" t="s">
        <v>80</v>
      </c>
      <c r="E23" s="4" t="s">
        <v>64</v>
      </c>
      <c r="F23" s="4" t="s">
        <v>95</v>
      </c>
      <c r="G23" s="4">
        <f>'Default Network Metrics'!Y41</f>
        <v>0</v>
      </c>
      <c r="H23" s="40">
        <f t="shared" si="0"/>
        <v>50</v>
      </c>
      <c r="I23" s="40">
        <f t="shared" si="1"/>
        <v>50</v>
      </c>
      <c r="J23" s="43">
        <v>50</v>
      </c>
    </row>
    <row r="24" spans="4:10">
      <c r="D24" s="4" t="s">
        <v>82</v>
      </c>
      <c r="E24" s="4" t="s">
        <v>64</v>
      </c>
      <c r="F24" s="4" t="s">
        <v>95</v>
      </c>
      <c r="G24" s="4">
        <f>'Default Network Metrics'!Y69</f>
        <v>0</v>
      </c>
      <c r="H24" s="40">
        <f t="shared" si="0"/>
        <v>50</v>
      </c>
      <c r="I24" s="40">
        <f t="shared" si="1"/>
        <v>50</v>
      </c>
      <c r="J24" s="43">
        <v>50</v>
      </c>
    </row>
    <row r="25" spans="4:10">
      <c r="D25" s="4" t="s">
        <v>50</v>
      </c>
      <c r="E25" s="4" t="s">
        <v>65</v>
      </c>
      <c r="F25" s="4" t="s">
        <v>95</v>
      </c>
      <c r="G25" s="4">
        <f>'Default Network Metrics'!Y14</f>
        <v>0</v>
      </c>
      <c r="H25" s="40">
        <f t="shared" si="0"/>
        <v>0.9</v>
      </c>
      <c r="I25" s="40">
        <f t="shared" si="1"/>
        <v>0.9</v>
      </c>
      <c r="J25" s="43">
        <v>0.9</v>
      </c>
    </row>
    <row r="26" spans="4:10">
      <c r="D26" s="4" t="s">
        <v>80</v>
      </c>
      <c r="E26" s="4" t="s">
        <v>65</v>
      </c>
      <c r="F26" s="4" t="s">
        <v>95</v>
      </c>
      <c r="G26" s="4">
        <f>'Default Network Metrics'!Y42</f>
        <v>0</v>
      </c>
      <c r="H26" s="40">
        <f t="shared" si="0"/>
        <v>100</v>
      </c>
      <c r="I26" s="40">
        <f t="shared" si="1"/>
        <v>100</v>
      </c>
      <c r="J26" s="43">
        <v>100</v>
      </c>
    </row>
    <row r="27" spans="4:10">
      <c r="D27" s="4" t="s">
        <v>82</v>
      </c>
      <c r="E27" s="4" t="s">
        <v>65</v>
      </c>
      <c r="F27" s="4" t="s">
        <v>95</v>
      </c>
      <c r="G27" s="4">
        <f>'Default Network Metrics'!Y70</f>
        <v>0</v>
      </c>
      <c r="H27" s="40">
        <f t="shared" si="0"/>
        <v>100</v>
      </c>
      <c r="I27" s="40">
        <f t="shared" si="1"/>
        <v>100</v>
      </c>
      <c r="J27" s="43">
        <v>100</v>
      </c>
    </row>
    <row r="28" spans="4:10">
      <c r="D28" s="4" t="s">
        <v>50</v>
      </c>
      <c r="E28" s="4" t="s">
        <v>70</v>
      </c>
      <c r="F28" s="4" t="s">
        <v>62</v>
      </c>
      <c r="G28" s="4">
        <f>'Default Network Metrics'!J18</f>
        <v>0</v>
      </c>
      <c r="H28" s="40">
        <f t="shared" si="0"/>
        <v>0.8</v>
      </c>
      <c r="I28" s="40">
        <f t="shared" si="1"/>
        <v>0.8</v>
      </c>
      <c r="J28" s="43">
        <v>0.8</v>
      </c>
    </row>
    <row r="29" spans="4:10">
      <c r="D29" s="4" t="s">
        <v>80</v>
      </c>
      <c r="E29" s="4" t="s">
        <v>70</v>
      </c>
      <c r="F29" s="4" t="s">
        <v>62</v>
      </c>
      <c r="G29" s="4">
        <f>'Default Network Metrics'!J46</f>
        <v>0</v>
      </c>
      <c r="H29" s="40">
        <f t="shared" si="0"/>
        <v>90</v>
      </c>
      <c r="I29" s="40">
        <f t="shared" si="1"/>
        <v>90</v>
      </c>
      <c r="J29" s="43">
        <v>90</v>
      </c>
    </row>
    <row r="30" spans="4:10">
      <c r="D30" s="4" t="s">
        <v>82</v>
      </c>
      <c r="E30" s="4" t="s">
        <v>70</v>
      </c>
      <c r="F30" s="4" t="s">
        <v>62</v>
      </c>
      <c r="G30" s="4">
        <f>'Default Network Metrics'!J74</f>
        <v>0</v>
      </c>
      <c r="H30" s="40">
        <f t="shared" si="0"/>
        <v>90</v>
      </c>
      <c r="I30" s="40">
        <f t="shared" si="1"/>
        <v>90</v>
      </c>
      <c r="J30" s="43">
        <v>90</v>
      </c>
    </row>
    <row r="31" spans="4:10">
      <c r="D31" s="4" t="s">
        <v>50</v>
      </c>
      <c r="E31" s="4" t="s">
        <v>72</v>
      </c>
      <c r="F31" s="4" t="s">
        <v>62</v>
      </c>
      <c r="G31" s="4">
        <f>'Default Network Metrics'!J20</f>
        <v>0</v>
      </c>
      <c r="H31" s="40">
        <f t="shared" si="0"/>
        <v>0.5</v>
      </c>
      <c r="I31" s="40">
        <f t="shared" si="1"/>
        <v>0.5</v>
      </c>
      <c r="J31" s="43">
        <v>0.5</v>
      </c>
    </row>
    <row r="32" spans="4:10">
      <c r="D32" s="4" t="s">
        <v>80</v>
      </c>
      <c r="E32" s="4" t="s">
        <v>72</v>
      </c>
      <c r="F32" s="4" t="s">
        <v>62</v>
      </c>
      <c r="G32" s="4">
        <f>'Default Network Metrics'!J48</f>
        <v>0</v>
      </c>
      <c r="H32" s="40">
        <f t="shared" si="0"/>
        <v>80</v>
      </c>
      <c r="I32" s="40">
        <f t="shared" si="1"/>
        <v>80</v>
      </c>
      <c r="J32" s="43">
        <v>80</v>
      </c>
    </row>
    <row r="33" spans="1:10">
      <c r="D33" s="4" t="s">
        <v>82</v>
      </c>
      <c r="E33" s="4" t="s">
        <v>72</v>
      </c>
      <c r="F33" s="4" t="s">
        <v>62</v>
      </c>
      <c r="G33" s="4">
        <f>'Default Network Metrics'!J76</f>
        <v>0</v>
      </c>
      <c r="H33" s="40">
        <f t="shared" si="0"/>
        <v>50</v>
      </c>
      <c r="I33" s="40">
        <f t="shared" si="1"/>
        <v>50</v>
      </c>
      <c r="J33" s="43">
        <v>50</v>
      </c>
    </row>
    <row r="34" spans="1:10">
      <c r="D34" s="4" t="s">
        <v>50</v>
      </c>
      <c r="E34" s="4" t="s">
        <v>73</v>
      </c>
      <c r="F34" s="4" t="s">
        <v>62</v>
      </c>
      <c r="G34" s="4">
        <f>'Default Network Metrics'!J21</f>
        <v>0</v>
      </c>
      <c r="H34" s="40">
        <f t="shared" si="0"/>
        <v>0.2</v>
      </c>
      <c r="I34" s="40">
        <f t="shared" si="1"/>
        <v>0.2</v>
      </c>
      <c r="J34" s="43">
        <v>0.2</v>
      </c>
    </row>
    <row r="35" spans="1:10">
      <c r="D35" s="4" t="s">
        <v>80</v>
      </c>
      <c r="E35" s="4" t="s">
        <v>73</v>
      </c>
      <c r="F35" s="4" t="s">
        <v>62</v>
      </c>
      <c r="G35" s="4">
        <f>'Default Network Metrics'!J49</f>
        <v>0</v>
      </c>
      <c r="H35" s="40">
        <f t="shared" si="0"/>
        <v>50</v>
      </c>
      <c r="I35" s="40">
        <f t="shared" si="1"/>
        <v>50</v>
      </c>
      <c r="J35" s="43">
        <v>50</v>
      </c>
    </row>
    <row r="36" spans="1:10">
      <c r="A36" s="37"/>
      <c r="B36" s="56"/>
      <c r="C36" s="54"/>
      <c r="D36" s="37" t="s">
        <v>82</v>
      </c>
      <c r="E36" s="37" t="s">
        <v>73</v>
      </c>
      <c r="F36" s="37" t="s">
        <v>62</v>
      </c>
      <c r="G36" s="37">
        <f>'Default Network Metrics'!J77</f>
        <v>0</v>
      </c>
      <c r="H36" s="41">
        <f>(1-($C$2/100))*G36+($C$2/100)*I36</f>
        <v>50</v>
      </c>
      <c r="I36" s="41">
        <f>J36*$B$2+G36*(1-$B$2)</f>
        <v>50</v>
      </c>
      <c r="J36" s="44">
        <v>50</v>
      </c>
    </row>
    <row r="37" spans="1:10">
      <c r="A37" s="4" t="s">
        <v>96</v>
      </c>
      <c r="B37" s="55">
        <v>0</v>
      </c>
      <c r="C37" s="53">
        <v>100</v>
      </c>
      <c r="D37" s="4" t="s">
        <v>97</v>
      </c>
      <c r="E37" s="4" t="s">
        <v>69</v>
      </c>
      <c r="G37" s="4">
        <f>'Default Network Metrics'!AD17</f>
        <v>0</v>
      </c>
      <c r="H37" s="40">
        <f t="shared" ref="H37:H43" si="2">(1-($C$37/100))*G37+($C$37/100)*I37</f>
        <v>0</v>
      </c>
      <c r="I37" s="40">
        <f t="shared" ref="I37:I45" si="3">J37*$B$37+G37*(1-$B$37)</f>
        <v>0</v>
      </c>
      <c r="J37" s="43">
        <v>80</v>
      </c>
    </row>
    <row r="38" spans="1:10">
      <c r="D38" s="4" t="s">
        <v>50</v>
      </c>
      <c r="E38" s="4" t="s">
        <v>68</v>
      </c>
      <c r="F38" s="4" t="s">
        <v>69</v>
      </c>
      <c r="G38" s="4">
        <f>'Default Network Metrics'!P16</f>
        <v>0</v>
      </c>
      <c r="H38" s="40">
        <f t="shared" si="2"/>
        <v>0</v>
      </c>
      <c r="I38" s="40">
        <f t="shared" si="3"/>
        <v>0</v>
      </c>
      <c r="J38" s="43">
        <v>0.9</v>
      </c>
    </row>
    <row r="39" spans="1:10">
      <c r="D39" s="4" t="s">
        <v>80</v>
      </c>
      <c r="E39" s="4" t="s">
        <v>68</v>
      </c>
      <c r="F39" s="4" t="s">
        <v>69</v>
      </c>
      <c r="G39" s="4">
        <f>'Default Network Metrics'!P44</f>
        <v>0</v>
      </c>
      <c r="H39" s="40">
        <f t="shared" si="2"/>
        <v>0</v>
      </c>
      <c r="I39" s="40">
        <f t="shared" si="3"/>
        <v>0</v>
      </c>
      <c r="J39" s="43">
        <v>100</v>
      </c>
    </row>
    <row r="40" spans="1:10">
      <c r="D40" s="4" t="s">
        <v>82</v>
      </c>
      <c r="E40" s="4" t="s">
        <v>68</v>
      </c>
      <c r="F40" s="4" t="s">
        <v>69</v>
      </c>
      <c r="G40" s="4">
        <f>'Default Network Metrics'!P72</f>
        <v>0</v>
      </c>
      <c r="H40" s="40">
        <f t="shared" si="2"/>
        <v>0</v>
      </c>
      <c r="I40" s="40">
        <f t="shared" si="3"/>
        <v>0</v>
      </c>
      <c r="J40" s="43">
        <v>90</v>
      </c>
    </row>
    <row r="41" spans="1:10">
      <c r="D41" s="4" t="s">
        <v>50</v>
      </c>
      <c r="E41" s="4" t="s">
        <v>69</v>
      </c>
      <c r="F41" s="4" t="s">
        <v>70</v>
      </c>
      <c r="G41" s="4">
        <f>'Default Network Metrics'!Q17</f>
        <v>0</v>
      </c>
      <c r="H41" s="40">
        <f t="shared" si="2"/>
        <v>0</v>
      </c>
      <c r="I41" s="40">
        <f t="shared" si="3"/>
        <v>0</v>
      </c>
      <c r="J41" s="43">
        <v>0.9</v>
      </c>
    </row>
    <row r="42" spans="1:10">
      <c r="D42" s="4" t="s">
        <v>80</v>
      </c>
      <c r="E42" s="4" t="s">
        <v>69</v>
      </c>
      <c r="F42" s="4" t="s">
        <v>70</v>
      </c>
      <c r="G42" s="4">
        <f>'Default Network Metrics'!Q45</f>
        <v>0</v>
      </c>
      <c r="H42" s="40">
        <f t="shared" si="2"/>
        <v>0</v>
      </c>
      <c r="I42" s="40">
        <f t="shared" si="3"/>
        <v>0</v>
      </c>
      <c r="J42" s="43">
        <v>100</v>
      </c>
    </row>
    <row r="43" spans="1:10">
      <c r="D43" s="47" t="s">
        <v>82</v>
      </c>
      <c r="E43" s="4" t="s">
        <v>69</v>
      </c>
      <c r="F43" s="4" t="s">
        <v>70</v>
      </c>
      <c r="G43" s="4">
        <f>'Default Network Metrics'!Q73</f>
        <v>0</v>
      </c>
      <c r="H43" s="40">
        <f t="shared" si="2"/>
        <v>0</v>
      </c>
      <c r="I43" s="40">
        <f t="shared" si="3"/>
        <v>0</v>
      </c>
      <c r="J43" s="43">
        <v>90</v>
      </c>
    </row>
    <row r="44" spans="1:10">
      <c r="D44" s="4" t="s">
        <v>50</v>
      </c>
      <c r="E44" s="4" t="s">
        <v>57</v>
      </c>
      <c r="F44" s="4" t="s">
        <v>70</v>
      </c>
      <c r="G44" s="4">
        <f>'Default Network Metrics'!Q6</f>
        <v>0.9</v>
      </c>
      <c r="H44" s="40">
        <f>(1-($C$37/100))*G44+($C$37/100)*I44</f>
        <v>0.9</v>
      </c>
      <c r="I44" s="40">
        <f t="shared" si="3"/>
        <v>0.9</v>
      </c>
      <c r="J44" s="43">
        <v>0</v>
      </c>
    </row>
    <row r="45" spans="1:10">
      <c r="D45" s="4" t="s">
        <v>80</v>
      </c>
      <c r="E45" s="4" t="s">
        <v>57</v>
      </c>
      <c r="F45" s="4" t="s">
        <v>70</v>
      </c>
      <c r="G45" s="4">
        <f>'Default Network Metrics'!Q34</f>
        <v>100</v>
      </c>
      <c r="H45" s="40">
        <f t="shared" ref="H45:H49" si="4">(1-($C$37/100))*G45+($C$37/100)*I45</f>
        <v>100</v>
      </c>
      <c r="I45" s="40">
        <f t="shared" si="3"/>
        <v>100</v>
      </c>
      <c r="J45" s="43">
        <v>0</v>
      </c>
    </row>
    <row r="46" spans="1:10">
      <c r="D46" s="4" t="s">
        <v>82</v>
      </c>
      <c r="E46" s="4" t="s">
        <v>57</v>
      </c>
      <c r="F46" s="4" t="s">
        <v>70</v>
      </c>
      <c r="G46" s="4">
        <f>'Default Network Metrics'!Q62</f>
        <v>80</v>
      </c>
      <c r="H46" s="40">
        <f t="shared" si="4"/>
        <v>80</v>
      </c>
      <c r="I46" s="40">
        <f>J46*$B$37+G46*(1-$B$37)</f>
        <v>80</v>
      </c>
      <c r="J46" s="43">
        <v>0</v>
      </c>
    </row>
    <row r="47" spans="1:10">
      <c r="D47" s="4" t="s">
        <v>50</v>
      </c>
      <c r="E47" s="4" t="s">
        <v>57</v>
      </c>
      <c r="F47" s="4" t="s">
        <v>95</v>
      </c>
      <c r="G47" s="4">
        <f>'Default Network Metrics'!Y6</f>
        <v>0</v>
      </c>
      <c r="H47" s="40">
        <f t="shared" si="4"/>
        <v>0</v>
      </c>
      <c r="I47" s="40">
        <f t="shared" ref="I47:I49" si="5">J47*$B$37+G47*(1-$B$37)</f>
        <v>0</v>
      </c>
      <c r="J47" s="43">
        <v>0.9</v>
      </c>
    </row>
    <row r="48" spans="1:10">
      <c r="D48" s="4" t="s">
        <v>80</v>
      </c>
      <c r="E48" s="4" t="s">
        <v>57</v>
      </c>
      <c r="F48" s="4" t="s">
        <v>95</v>
      </c>
      <c r="G48" s="4">
        <f>'Default Network Metrics'!Y34</f>
        <v>0</v>
      </c>
      <c r="H48" s="40">
        <f t="shared" si="4"/>
        <v>0</v>
      </c>
      <c r="I48" s="40">
        <f t="shared" si="5"/>
        <v>0</v>
      </c>
      <c r="J48" s="43">
        <v>100</v>
      </c>
    </row>
    <row r="49" spans="1:10">
      <c r="A49" s="37"/>
      <c r="B49" s="56"/>
      <c r="C49" s="54"/>
      <c r="D49" s="37" t="s">
        <v>82</v>
      </c>
      <c r="E49" s="37" t="s">
        <v>57</v>
      </c>
      <c r="F49" s="37" t="s">
        <v>95</v>
      </c>
      <c r="G49" s="37">
        <f>'Default Network Metrics'!Y62</f>
        <v>0</v>
      </c>
      <c r="H49" s="41">
        <f t="shared" si="4"/>
        <v>0</v>
      </c>
      <c r="I49" s="41">
        <f t="shared" si="5"/>
        <v>0</v>
      </c>
      <c r="J49" s="44">
        <v>100</v>
      </c>
    </row>
    <row r="50" spans="1:10">
      <c r="A50" s="48" t="s">
        <v>98</v>
      </c>
      <c r="B50" s="55">
        <v>0</v>
      </c>
      <c r="C50" s="53">
        <v>100</v>
      </c>
      <c r="D50" s="4" t="s">
        <v>97</v>
      </c>
      <c r="E50" s="4" t="s">
        <v>69</v>
      </c>
      <c r="G50" s="4">
        <f>'Default Network Metrics'!AD17</f>
        <v>0</v>
      </c>
      <c r="H50" s="40">
        <f>(1-($C$50/100))*G50+($C$50/100)*I50</f>
        <v>0</v>
      </c>
      <c r="I50" s="40">
        <f>J50*$B$50+G50*(1-$B$50)</f>
        <v>0</v>
      </c>
      <c r="J50" s="43">
        <v>80</v>
      </c>
    </row>
    <row r="51" spans="1:10">
      <c r="A51" s="49" t="s">
        <v>99</v>
      </c>
      <c r="D51" s="4" t="s">
        <v>50</v>
      </c>
      <c r="E51" s="4" t="s">
        <v>68</v>
      </c>
      <c r="F51" s="4" t="s">
        <v>69</v>
      </c>
      <c r="G51" s="4">
        <f>'Default Network Metrics'!P16</f>
        <v>0</v>
      </c>
      <c r="H51" s="40">
        <f t="shared" ref="H51:H65" si="6">(1-($C$50/100))*G51+($C$50/100)*I51</f>
        <v>0</v>
      </c>
      <c r="I51" s="40">
        <f t="shared" ref="I51:I65" si="7">J51*$B$50+G51*(1-$B$50)</f>
        <v>0</v>
      </c>
      <c r="J51" s="43">
        <v>0.9</v>
      </c>
    </row>
    <row r="52" spans="1:10">
      <c r="D52" s="4" t="s">
        <v>80</v>
      </c>
      <c r="E52" s="4" t="s">
        <v>68</v>
      </c>
      <c r="F52" s="4" t="s">
        <v>69</v>
      </c>
      <c r="G52" s="4">
        <f>'Default Network Metrics'!P44</f>
        <v>0</v>
      </c>
      <c r="H52" s="40">
        <f t="shared" si="6"/>
        <v>0</v>
      </c>
      <c r="I52" s="40">
        <f t="shared" si="7"/>
        <v>0</v>
      </c>
      <c r="J52" s="43">
        <v>100</v>
      </c>
    </row>
    <row r="53" spans="1:10">
      <c r="D53" s="4" t="s">
        <v>82</v>
      </c>
      <c r="E53" s="4" t="s">
        <v>68</v>
      </c>
      <c r="F53" s="4" t="s">
        <v>69</v>
      </c>
      <c r="G53" s="4">
        <f>'Default Network Metrics'!P72</f>
        <v>0</v>
      </c>
      <c r="H53" s="40">
        <f t="shared" si="6"/>
        <v>0</v>
      </c>
      <c r="I53" s="40">
        <f t="shared" si="7"/>
        <v>0</v>
      </c>
      <c r="J53" s="43">
        <v>90</v>
      </c>
    </row>
    <row r="54" spans="1:10">
      <c r="D54" s="4" t="s">
        <v>50</v>
      </c>
      <c r="E54" s="4" t="s">
        <v>69</v>
      </c>
      <c r="F54" s="4" t="s">
        <v>70</v>
      </c>
      <c r="G54" s="4">
        <f>'Default Network Metrics'!Q17</f>
        <v>0</v>
      </c>
      <c r="H54" s="40">
        <f t="shared" si="6"/>
        <v>0</v>
      </c>
      <c r="I54" s="40">
        <f t="shared" ref="I54:I56" si="8">J54*$B$50+G54*(1-$B$50)</f>
        <v>0</v>
      </c>
      <c r="J54" s="43">
        <v>0</v>
      </c>
    </row>
    <row r="55" spans="1:10">
      <c r="D55" s="4" t="s">
        <v>80</v>
      </c>
      <c r="E55" s="4" t="s">
        <v>69</v>
      </c>
      <c r="F55" s="4" t="s">
        <v>70</v>
      </c>
      <c r="G55" s="4">
        <f>'Default Network Metrics'!Q45</f>
        <v>0</v>
      </c>
      <c r="H55" s="40">
        <f t="shared" si="6"/>
        <v>0</v>
      </c>
      <c r="I55" s="40">
        <f t="shared" si="8"/>
        <v>0</v>
      </c>
      <c r="J55" s="43">
        <v>20</v>
      </c>
    </row>
    <row r="56" spans="1:10">
      <c r="D56" s="4" t="s">
        <v>82</v>
      </c>
      <c r="E56" s="4" t="s">
        <v>69</v>
      </c>
      <c r="F56" s="4" t="s">
        <v>70</v>
      </c>
      <c r="G56" s="4">
        <f>'Default Network Metrics'!Q73</f>
        <v>0</v>
      </c>
      <c r="H56" s="40">
        <f t="shared" si="6"/>
        <v>0</v>
      </c>
      <c r="I56" s="40">
        <f t="shared" si="8"/>
        <v>0</v>
      </c>
      <c r="J56" s="43">
        <v>20</v>
      </c>
    </row>
    <row r="57" spans="1:10">
      <c r="D57" s="4" t="s">
        <v>50</v>
      </c>
      <c r="E57" s="4" t="s">
        <v>68</v>
      </c>
      <c r="F57" s="4" t="s">
        <v>56</v>
      </c>
      <c r="G57" s="4">
        <f>'Default Network Metrics'!D16</f>
        <v>0.5</v>
      </c>
      <c r="H57" s="40">
        <f t="shared" si="6"/>
        <v>0.5</v>
      </c>
      <c r="I57" s="40">
        <f t="shared" si="7"/>
        <v>0.5</v>
      </c>
      <c r="J57" s="43">
        <v>0</v>
      </c>
    </row>
    <row r="58" spans="1:10">
      <c r="D58" s="4" t="s">
        <v>80</v>
      </c>
      <c r="E58" s="4" t="s">
        <v>68</v>
      </c>
      <c r="F58" s="4" t="s">
        <v>56</v>
      </c>
      <c r="G58" s="4">
        <f>'Default Network Metrics'!D44</f>
        <v>50</v>
      </c>
      <c r="H58" s="40">
        <f t="shared" si="6"/>
        <v>50</v>
      </c>
      <c r="I58" s="40">
        <f t="shared" si="7"/>
        <v>50</v>
      </c>
      <c r="J58" s="43">
        <v>0</v>
      </c>
    </row>
    <row r="59" spans="1:10">
      <c r="D59" s="4" t="s">
        <v>82</v>
      </c>
      <c r="E59" s="4" t="s">
        <v>68</v>
      </c>
      <c r="F59" s="4" t="s">
        <v>56</v>
      </c>
      <c r="G59" s="4">
        <f>'Default Network Metrics'!D72</f>
        <v>70</v>
      </c>
      <c r="H59" s="40">
        <f t="shared" si="6"/>
        <v>70</v>
      </c>
      <c r="I59" s="40">
        <f t="shared" si="7"/>
        <v>70</v>
      </c>
      <c r="J59" s="43">
        <v>0</v>
      </c>
    </row>
    <row r="60" spans="1:10">
      <c r="D60" s="4" t="s">
        <v>50</v>
      </c>
      <c r="E60" s="4" t="s">
        <v>69</v>
      </c>
      <c r="F60" s="4" t="s">
        <v>56</v>
      </c>
      <c r="G60" s="4">
        <f>'Default Network Metrics'!D17</f>
        <v>0</v>
      </c>
      <c r="H60" s="40">
        <f t="shared" si="6"/>
        <v>0</v>
      </c>
      <c r="I60" s="40">
        <f t="shared" si="7"/>
        <v>0</v>
      </c>
      <c r="J60" s="43">
        <v>0.5</v>
      </c>
    </row>
    <row r="61" spans="1:10">
      <c r="D61" s="4" t="s">
        <v>80</v>
      </c>
      <c r="E61" s="4" t="s">
        <v>69</v>
      </c>
      <c r="F61" s="4" t="s">
        <v>56</v>
      </c>
      <c r="G61" s="4">
        <f>'Default Network Metrics'!D45</f>
        <v>0</v>
      </c>
      <c r="H61" s="40">
        <f t="shared" si="6"/>
        <v>0</v>
      </c>
      <c r="I61" s="40">
        <f t="shared" si="7"/>
        <v>0</v>
      </c>
      <c r="J61" s="43">
        <v>50</v>
      </c>
    </row>
    <row r="62" spans="1:10">
      <c r="D62" s="4" t="s">
        <v>82</v>
      </c>
      <c r="E62" s="4" t="s">
        <v>69</v>
      </c>
      <c r="F62" s="4" t="s">
        <v>56</v>
      </c>
      <c r="G62" s="4">
        <f>'Default Network Metrics'!D73</f>
        <v>0</v>
      </c>
      <c r="H62" s="40">
        <f t="shared" si="6"/>
        <v>0</v>
      </c>
      <c r="I62" s="40">
        <f t="shared" si="7"/>
        <v>0</v>
      </c>
      <c r="J62" s="43">
        <v>50</v>
      </c>
    </row>
    <row r="63" spans="1:10">
      <c r="D63" s="4" t="s">
        <v>50</v>
      </c>
      <c r="E63" s="4" t="s">
        <v>57</v>
      </c>
      <c r="F63" s="4" t="s">
        <v>70</v>
      </c>
      <c r="G63" s="4">
        <f>'Default Network Metrics'!Q6</f>
        <v>0.9</v>
      </c>
      <c r="H63" s="40">
        <f t="shared" si="6"/>
        <v>0.9</v>
      </c>
      <c r="I63" s="40">
        <f t="shared" si="7"/>
        <v>0.9</v>
      </c>
      <c r="J63" s="43">
        <v>0.5</v>
      </c>
    </row>
    <row r="64" spans="1:10">
      <c r="D64" s="4" t="s">
        <v>80</v>
      </c>
      <c r="E64" s="4" t="s">
        <v>57</v>
      </c>
      <c r="F64" s="4" t="s">
        <v>70</v>
      </c>
      <c r="G64" s="4">
        <f>'Default Network Metrics'!Q34</f>
        <v>100</v>
      </c>
      <c r="H64" s="40">
        <f t="shared" si="6"/>
        <v>100</v>
      </c>
      <c r="I64" s="40">
        <f t="shared" si="7"/>
        <v>100</v>
      </c>
      <c r="J64" s="43">
        <v>50</v>
      </c>
    </row>
    <row r="65" spans="1:10">
      <c r="A65" s="37"/>
      <c r="B65" s="56"/>
      <c r="C65" s="54"/>
      <c r="D65" s="37" t="s">
        <v>82</v>
      </c>
      <c r="E65" s="37" t="s">
        <v>57</v>
      </c>
      <c r="F65" s="37" t="s">
        <v>70</v>
      </c>
      <c r="G65" s="37">
        <f>'Default Network Metrics'!Q62</f>
        <v>80</v>
      </c>
      <c r="H65" s="40">
        <f t="shared" si="6"/>
        <v>80</v>
      </c>
      <c r="I65" s="40">
        <f t="shared" si="7"/>
        <v>80</v>
      </c>
      <c r="J65" s="44">
        <v>70</v>
      </c>
    </row>
    <row r="66" spans="1:10">
      <c r="A66" s="48" t="s">
        <v>100</v>
      </c>
      <c r="B66" s="55">
        <v>1</v>
      </c>
      <c r="C66" s="53">
        <v>100</v>
      </c>
      <c r="D66" s="4" t="s">
        <v>101</v>
      </c>
      <c r="E66" s="29" t="s">
        <v>53</v>
      </c>
      <c r="G66" s="4">
        <f>'Default Network Metrics'!AE3</f>
        <v>2</v>
      </c>
      <c r="H66" s="51">
        <f>(1-($C$66/100))*G66+($C$66/100)*I66</f>
        <v>5</v>
      </c>
      <c r="I66" s="51">
        <f>J66*$B$66+G66*(1-$B$66)</f>
        <v>5</v>
      </c>
      <c r="J66" s="43">
        <v>5</v>
      </c>
    </row>
    <row r="67" spans="1:10">
      <c r="D67" s="4" t="s">
        <v>101</v>
      </c>
      <c r="E67" s="29" t="s">
        <v>58</v>
      </c>
      <c r="G67" s="4">
        <f>'Default Network Metrics'!AE7</f>
        <v>2</v>
      </c>
      <c r="H67" s="40">
        <f t="shared" ref="H67:H77" si="9">(1-($C$66/100))*G67+($C$66/100)*I67</f>
        <v>5</v>
      </c>
      <c r="I67" s="40">
        <f t="shared" ref="I67" si="10">J67*$B$66+G67*(1-$B$66)</f>
        <v>5</v>
      </c>
      <c r="J67" s="43">
        <v>5</v>
      </c>
    </row>
    <row r="68" spans="1:10">
      <c r="D68" s="4" t="s">
        <v>101</v>
      </c>
      <c r="E68" s="29" t="s">
        <v>62</v>
      </c>
      <c r="G68" s="4">
        <f>H6</f>
        <v>2</v>
      </c>
      <c r="H68" s="40">
        <f t="shared" si="9"/>
        <v>5</v>
      </c>
      <c r="I68" s="40">
        <f>J68*$B$66+G68*(1-$B$66)</f>
        <v>5</v>
      </c>
      <c r="J68" s="43">
        <f>5*B2</f>
        <v>5</v>
      </c>
    </row>
    <row r="69" spans="1:10">
      <c r="D69" s="4" t="s">
        <v>102</v>
      </c>
      <c r="E69" s="4" t="s">
        <v>66</v>
      </c>
      <c r="G69" s="4" t="s">
        <v>67</v>
      </c>
      <c r="H69" s="40" t="str">
        <f>IF($B$66&gt;0,IF($C$66&gt;0,J69,G69),G69)</f>
        <v>B</v>
      </c>
      <c r="J69" s="43" t="s">
        <v>54</v>
      </c>
    </row>
    <row r="70" spans="1:10">
      <c r="D70" s="4" t="s">
        <v>102</v>
      </c>
      <c r="E70" s="4" t="s">
        <v>70</v>
      </c>
      <c r="G70" s="4" t="s">
        <v>67</v>
      </c>
      <c r="H70" s="40" t="str">
        <f t="shared" ref="H70:H71" si="11">IF($B$66&gt;0,IF($C$66&gt;0,J70,G70),G70)</f>
        <v>B</v>
      </c>
      <c r="J70" s="43" t="s">
        <v>54</v>
      </c>
    </row>
    <row r="71" spans="1:10">
      <c r="D71" s="4" t="s">
        <v>102</v>
      </c>
      <c r="E71" s="4" t="s">
        <v>78</v>
      </c>
      <c r="G71" s="4" t="s">
        <v>67</v>
      </c>
      <c r="H71" s="40" t="str">
        <f t="shared" si="11"/>
        <v>B</v>
      </c>
      <c r="J71" s="43" t="s">
        <v>54</v>
      </c>
    </row>
    <row r="72" spans="1:10">
      <c r="D72" s="4" t="s">
        <v>93</v>
      </c>
      <c r="E72" s="4" t="s">
        <v>66</v>
      </c>
      <c r="G72" s="4">
        <f>IF($B$66&gt;0,IF($C$66&gt;0,5,80),80)</f>
        <v>5</v>
      </c>
      <c r="H72" s="40">
        <f t="shared" si="9"/>
        <v>5</v>
      </c>
      <c r="I72" s="40">
        <f>J72*$B$66+G72*(1-$B$66)</f>
        <v>5</v>
      </c>
      <c r="J72" s="43">
        <v>5</v>
      </c>
    </row>
    <row r="73" spans="1:10">
      <c r="D73" s="4" t="s">
        <v>93</v>
      </c>
      <c r="E73" s="4" t="s">
        <v>70</v>
      </c>
      <c r="G73" s="4">
        <f t="shared" ref="G73:G74" si="12">IF($B$66&gt;0,IF($C$66&gt;0,5,80),80)</f>
        <v>5</v>
      </c>
      <c r="H73" s="40">
        <f t="shared" si="9"/>
        <v>5</v>
      </c>
      <c r="I73" s="40">
        <f t="shared" ref="I73:I77" si="13">J73*$B$66+G73*(1-$B$66)</f>
        <v>5</v>
      </c>
      <c r="J73" s="43">
        <v>5</v>
      </c>
    </row>
    <row r="74" spans="1:10">
      <c r="D74" s="4" t="s">
        <v>93</v>
      </c>
      <c r="E74" s="4" t="s">
        <v>78</v>
      </c>
      <c r="G74" s="4">
        <f t="shared" si="12"/>
        <v>5</v>
      </c>
      <c r="H74" s="40">
        <f t="shared" si="9"/>
        <v>5</v>
      </c>
      <c r="I74" s="40">
        <f t="shared" si="13"/>
        <v>5</v>
      </c>
      <c r="J74" s="43">
        <v>5</v>
      </c>
    </row>
    <row r="75" spans="1:10">
      <c r="D75" s="4" t="s">
        <v>94</v>
      </c>
      <c r="E75" s="4" t="s">
        <v>66</v>
      </c>
      <c r="G75" s="4">
        <f>IF($B$66&gt;0,IF($C$66&gt;0,2,0),0)</f>
        <v>2</v>
      </c>
      <c r="H75" s="40">
        <f t="shared" si="9"/>
        <v>5</v>
      </c>
      <c r="I75" s="40">
        <f t="shared" si="13"/>
        <v>5</v>
      </c>
      <c r="J75" s="43">
        <f>($C$66/100)*H72+(1-($C$66/100))*2</f>
        <v>5</v>
      </c>
    </row>
    <row r="76" spans="1:10">
      <c r="D76" s="4" t="s">
        <v>94</v>
      </c>
      <c r="E76" s="4" t="s">
        <v>70</v>
      </c>
      <c r="G76" s="4">
        <f t="shared" ref="G76:G77" si="14">IF($B$66&gt;0,IF($C$66&gt;0,2,0),0)</f>
        <v>2</v>
      </c>
      <c r="H76" s="40">
        <f t="shared" si="9"/>
        <v>5</v>
      </c>
      <c r="I76" s="40">
        <f t="shared" si="13"/>
        <v>5</v>
      </c>
      <c r="J76" s="43">
        <f t="shared" ref="J76:J77" si="15">($C$66/100)*H73+(1-($C$66/100))*2</f>
        <v>5</v>
      </c>
    </row>
    <row r="77" spans="1:10">
      <c r="A77" s="37"/>
      <c r="B77" s="56"/>
      <c r="C77" s="54"/>
      <c r="D77" s="37" t="s">
        <v>94</v>
      </c>
      <c r="E77" s="37" t="s">
        <v>78</v>
      </c>
      <c r="F77" s="37"/>
      <c r="G77" s="37">
        <f t="shared" si="14"/>
        <v>2</v>
      </c>
      <c r="H77" s="41">
        <f t="shared" si="9"/>
        <v>5</v>
      </c>
      <c r="I77" s="41">
        <f t="shared" si="13"/>
        <v>5</v>
      </c>
      <c r="J77" s="52">
        <f t="shared" si="15"/>
        <v>5</v>
      </c>
    </row>
  </sheetData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>
    <row r="1" spans="1:1">
      <c r="A1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workbookViewId="0">
      <selection activeCell="L11" activeCellId="4" sqref="X12 Q9 J9 K10 L11"/>
    </sheetView>
  </sheetViews>
  <sheetFormatPr defaultRowHeight="15"/>
  <cols>
    <col min="1" max="8" width="3.7109375" customWidth="1"/>
    <col min="9" max="10" width="3.7109375" style="35" customWidth="1"/>
    <col min="11" max="11" width="3.7109375" style="21" customWidth="1"/>
    <col min="12" max="12" width="3.7109375" style="35" customWidth="1"/>
    <col min="13" max="14" width="3.7109375" customWidth="1"/>
    <col min="15" max="15" width="3.7109375" style="35" customWidth="1"/>
    <col min="16" max="27" width="3.7109375" customWidth="1"/>
  </cols>
  <sheetData>
    <row r="1" spans="1:24">
      <c r="A1">
        <f>'Default Network Metrics'!B3</f>
        <v>0</v>
      </c>
      <c r="B1">
        <f>'Default Network Metrics'!C3</f>
        <v>0.9</v>
      </c>
      <c r="C1">
        <f>'Default Network Metrics'!D3</f>
        <v>0</v>
      </c>
      <c r="D1">
        <f>'Default Network Metrics'!E3</f>
        <v>0</v>
      </c>
      <c r="E1">
        <f>'Default Network Metrics'!F3</f>
        <v>0</v>
      </c>
      <c r="F1">
        <f>'Default Network Metrics'!G3</f>
        <v>0</v>
      </c>
      <c r="G1">
        <f>'Default Network Metrics'!H3</f>
        <v>0</v>
      </c>
      <c r="H1">
        <f>'Default Network Metrics'!I3</f>
        <v>0</v>
      </c>
      <c r="I1" s="35">
        <f>'Default Network Metrics'!J3</f>
        <v>0</v>
      </c>
      <c r="J1" s="35">
        <f>'Default Network Metrics'!K3</f>
        <v>0</v>
      </c>
      <c r="K1" s="35">
        <f>'Default Network Metrics'!L3</f>
        <v>0</v>
      </c>
      <c r="L1" s="35">
        <f>'Default Network Metrics'!M3</f>
        <v>0</v>
      </c>
      <c r="M1">
        <f>'Default Network Metrics'!N3</f>
        <v>0</v>
      </c>
      <c r="N1">
        <f>'Default Network Metrics'!O3</f>
        <v>0</v>
      </c>
      <c r="O1" s="35">
        <f>'Default Network Metrics'!P3</f>
        <v>0</v>
      </c>
      <c r="P1">
        <f>'Default Network Metrics'!Q3</f>
        <v>0</v>
      </c>
      <c r="Q1">
        <f>'Default Network Metrics'!R3</f>
        <v>1</v>
      </c>
      <c r="R1">
        <f>'Default Network Metrics'!S3</f>
        <v>0</v>
      </c>
      <c r="S1">
        <f>'Default Network Metrics'!T3</f>
        <v>0</v>
      </c>
      <c r="T1">
        <f>'Default Network Metrics'!U3</f>
        <v>0</v>
      </c>
      <c r="U1">
        <f>'Default Network Metrics'!V3</f>
        <v>0</v>
      </c>
      <c r="V1">
        <f>'Default Network Metrics'!W3</f>
        <v>0</v>
      </c>
      <c r="W1">
        <f>'Default Network Metrics'!X3</f>
        <v>0</v>
      </c>
      <c r="X1">
        <f>'Default Network Metrics'!Y3</f>
        <v>0</v>
      </c>
    </row>
    <row r="2" spans="1:24">
      <c r="A2">
        <f>'Default Network Metrics'!B4</f>
        <v>0</v>
      </c>
      <c r="B2">
        <f>'Default Network Metrics'!C4</f>
        <v>0</v>
      </c>
      <c r="C2">
        <f>'Default Network Metrics'!D4</f>
        <v>0.9</v>
      </c>
      <c r="D2">
        <f>'Default Network Metrics'!E4</f>
        <v>0</v>
      </c>
      <c r="E2">
        <f>'Default Network Metrics'!F4</f>
        <v>0</v>
      </c>
      <c r="F2">
        <f>'Default Network Metrics'!G4</f>
        <v>0</v>
      </c>
      <c r="G2">
        <f>'Default Network Metrics'!H4</f>
        <v>0</v>
      </c>
      <c r="H2">
        <f>'Default Network Metrics'!I4</f>
        <v>0</v>
      </c>
      <c r="I2" s="35">
        <f>'Default Network Metrics'!J4</f>
        <v>0</v>
      </c>
      <c r="J2" s="35">
        <f>'Default Network Metrics'!K4</f>
        <v>0</v>
      </c>
      <c r="K2" s="35">
        <f>'Default Network Metrics'!L4</f>
        <v>0</v>
      </c>
      <c r="L2" s="35">
        <f>'Default Network Metrics'!M4</f>
        <v>0</v>
      </c>
      <c r="M2">
        <f>'Default Network Metrics'!N4</f>
        <v>0</v>
      </c>
      <c r="N2">
        <f>'Default Network Metrics'!O4</f>
        <v>0</v>
      </c>
      <c r="O2" s="35">
        <f>'Default Network Metrics'!P4</f>
        <v>0</v>
      </c>
      <c r="P2">
        <f>'Default Network Metrics'!Q4</f>
        <v>0</v>
      </c>
      <c r="Q2">
        <f>'Default Network Metrics'!R4</f>
        <v>0</v>
      </c>
      <c r="R2">
        <f>'Default Network Metrics'!S4</f>
        <v>0</v>
      </c>
      <c r="S2">
        <f>'Default Network Metrics'!T4</f>
        <v>0</v>
      </c>
      <c r="T2">
        <f>'Default Network Metrics'!U4</f>
        <v>0</v>
      </c>
      <c r="U2">
        <f>'Default Network Metrics'!V4</f>
        <v>0</v>
      </c>
      <c r="V2">
        <f>'Default Network Metrics'!W4</f>
        <v>0</v>
      </c>
      <c r="W2">
        <f>'Default Network Metrics'!X4</f>
        <v>0</v>
      </c>
      <c r="X2">
        <f>'Default Network Metrics'!Y4</f>
        <v>0</v>
      </c>
    </row>
    <row r="3" spans="1:24">
      <c r="A3">
        <f>'Default Network Metrics'!B5</f>
        <v>0</v>
      </c>
      <c r="B3">
        <f>'Default Network Metrics'!C5</f>
        <v>0</v>
      </c>
      <c r="C3">
        <f>'Default Network Metrics'!D5</f>
        <v>0</v>
      </c>
      <c r="D3">
        <f>'Default Network Metrics'!E5</f>
        <v>0.9</v>
      </c>
      <c r="E3">
        <f>'Default Network Metrics'!F5</f>
        <v>0</v>
      </c>
      <c r="F3">
        <f>'Default Network Metrics'!G5</f>
        <v>0</v>
      </c>
      <c r="G3">
        <f>'Default Network Metrics'!H5</f>
        <v>0</v>
      </c>
      <c r="H3">
        <f>'Default Network Metrics'!I5</f>
        <v>0</v>
      </c>
      <c r="I3" s="35">
        <f>'Default Network Metrics'!J5</f>
        <v>0</v>
      </c>
      <c r="J3" s="35">
        <f>'Default Network Metrics'!K5</f>
        <v>0</v>
      </c>
      <c r="K3" s="35">
        <f>'Default Network Metrics'!L5</f>
        <v>0</v>
      </c>
      <c r="L3" s="35">
        <f>'Default Network Metrics'!M5</f>
        <v>0</v>
      </c>
      <c r="M3">
        <f>'Default Network Metrics'!N5</f>
        <v>0</v>
      </c>
      <c r="N3">
        <f>'Default Network Metrics'!O5</f>
        <v>0</v>
      </c>
      <c r="O3" s="35">
        <f>'Default Network Metrics'!P5</f>
        <v>0</v>
      </c>
      <c r="P3">
        <f>'Default Network Metrics'!Q5</f>
        <v>0</v>
      </c>
      <c r="Q3">
        <f>'Default Network Metrics'!R5</f>
        <v>0</v>
      </c>
      <c r="R3">
        <f>'Default Network Metrics'!S5</f>
        <v>0</v>
      </c>
      <c r="S3">
        <f>'Default Network Metrics'!T5</f>
        <v>0</v>
      </c>
      <c r="T3">
        <f>'Default Network Metrics'!U5</f>
        <v>0</v>
      </c>
      <c r="U3">
        <f>'Default Network Metrics'!V5</f>
        <v>0</v>
      </c>
      <c r="V3">
        <f>'Default Network Metrics'!W5</f>
        <v>0</v>
      </c>
      <c r="W3">
        <f>'Default Network Metrics'!X5</f>
        <v>0</v>
      </c>
      <c r="X3">
        <f>'Default Network Metrics'!Y5</f>
        <v>0.5</v>
      </c>
    </row>
    <row r="4" spans="1:24">
      <c r="A4">
        <f>'Default Network Metrics'!B6</f>
        <v>0</v>
      </c>
      <c r="B4">
        <f>'Default Network Metrics'!C6</f>
        <v>0</v>
      </c>
      <c r="C4">
        <f>'Default Network Metrics'!D6</f>
        <v>0</v>
      </c>
      <c r="D4">
        <f>'Default Network Metrics'!E6</f>
        <v>0</v>
      </c>
      <c r="E4">
        <f>'Default Network Metrics'!F6</f>
        <v>0</v>
      </c>
      <c r="F4">
        <f>'Default Network Metrics'!G6</f>
        <v>0</v>
      </c>
      <c r="G4">
        <f>'Default Network Metrics'!H6</f>
        <v>0</v>
      </c>
      <c r="H4">
        <f>'Default Network Metrics'!I6</f>
        <v>0</v>
      </c>
      <c r="I4" s="35">
        <f>'Default Network Metrics'!J6</f>
        <v>0</v>
      </c>
      <c r="J4" s="35">
        <f>'Default Network Metrics'!K6</f>
        <v>0</v>
      </c>
      <c r="K4" s="35">
        <f>'Default Network Metrics'!L6</f>
        <v>0</v>
      </c>
      <c r="L4" s="35">
        <f>'Default Network Metrics'!M6</f>
        <v>0</v>
      </c>
      <c r="M4">
        <f>'Default Network Metrics'!N6</f>
        <v>0</v>
      </c>
      <c r="N4">
        <f>'Default Network Metrics'!O6</f>
        <v>0</v>
      </c>
      <c r="O4" s="35">
        <f>'Default Network Metrics'!P6</f>
        <v>0</v>
      </c>
      <c r="P4">
        <f>MIN('Event Register'!H63,'Event Register'!H44)</f>
        <v>0.9</v>
      </c>
      <c r="Q4">
        <f>'Default Network Metrics'!R6</f>
        <v>0</v>
      </c>
      <c r="R4">
        <f>'Default Network Metrics'!S6</f>
        <v>0</v>
      </c>
      <c r="S4">
        <f>'Default Network Metrics'!T6</f>
        <v>0</v>
      </c>
      <c r="T4">
        <f>'Default Network Metrics'!U6</f>
        <v>0</v>
      </c>
      <c r="U4">
        <f>'Default Network Metrics'!V6</f>
        <v>0</v>
      </c>
      <c r="V4">
        <f>'Default Network Metrics'!W6</f>
        <v>0</v>
      </c>
      <c r="W4">
        <f>'Default Network Metrics'!X6</f>
        <v>0</v>
      </c>
      <c r="X4">
        <f>MAX('Event Register'!H47)</f>
        <v>0</v>
      </c>
    </row>
    <row r="5" spans="1:24">
      <c r="A5">
        <f>'Default Network Metrics'!B7</f>
        <v>0</v>
      </c>
      <c r="B5">
        <f>'Default Network Metrics'!C7</f>
        <v>0</v>
      </c>
      <c r="C5">
        <f>'Default Network Metrics'!D7</f>
        <v>0</v>
      </c>
      <c r="D5">
        <f>'Default Network Metrics'!E7</f>
        <v>0</v>
      </c>
      <c r="E5">
        <f>'Default Network Metrics'!F7</f>
        <v>0</v>
      </c>
      <c r="F5">
        <f>'Default Network Metrics'!G7</f>
        <v>0.9</v>
      </c>
      <c r="G5">
        <f>'Default Network Metrics'!H7</f>
        <v>0</v>
      </c>
      <c r="H5">
        <f>'Default Network Metrics'!I7</f>
        <v>0</v>
      </c>
      <c r="I5" s="35">
        <f>'Default Network Metrics'!J7</f>
        <v>0</v>
      </c>
      <c r="J5" s="35">
        <f>'Default Network Metrics'!K7</f>
        <v>0</v>
      </c>
      <c r="K5" s="35">
        <f>'Default Network Metrics'!L7</f>
        <v>0</v>
      </c>
      <c r="L5" s="35">
        <f>'Default Network Metrics'!M7</f>
        <v>0</v>
      </c>
      <c r="M5">
        <f>'Default Network Metrics'!N7</f>
        <v>0</v>
      </c>
      <c r="N5">
        <f>'Default Network Metrics'!O7</f>
        <v>0</v>
      </c>
      <c r="O5" s="35">
        <f>'Default Network Metrics'!P7</f>
        <v>0</v>
      </c>
      <c r="P5">
        <f>'Default Network Metrics'!Q7</f>
        <v>0</v>
      </c>
      <c r="Q5">
        <f>'Default Network Metrics'!R7</f>
        <v>1</v>
      </c>
      <c r="R5">
        <f>'Default Network Metrics'!S7</f>
        <v>0</v>
      </c>
      <c r="S5">
        <f>'Default Network Metrics'!T7</f>
        <v>0</v>
      </c>
      <c r="T5">
        <f>'Default Network Metrics'!U7</f>
        <v>0</v>
      </c>
      <c r="U5">
        <f>'Default Network Metrics'!V7</f>
        <v>0</v>
      </c>
      <c r="V5">
        <f>'Default Network Metrics'!W7</f>
        <v>0</v>
      </c>
      <c r="W5">
        <f>'Default Network Metrics'!X7</f>
        <v>0</v>
      </c>
      <c r="X5">
        <f>'Default Network Metrics'!Y7</f>
        <v>0</v>
      </c>
    </row>
    <row r="6" spans="1:24">
      <c r="A6">
        <f>'Default Network Metrics'!B8</f>
        <v>0</v>
      </c>
      <c r="B6">
        <f>'Default Network Metrics'!C8</f>
        <v>0</v>
      </c>
      <c r="C6">
        <f>'Default Network Metrics'!D8</f>
        <v>0</v>
      </c>
      <c r="D6">
        <f>'Default Network Metrics'!E8</f>
        <v>0</v>
      </c>
      <c r="E6">
        <f>'Default Network Metrics'!F8</f>
        <v>0</v>
      </c>
      <c r="F6">
        <f>'Default Network Metrics'!G8</f>
        <v>0</v>
      </c>
      <c r="G6">
        <f>'Default Network Metrics'!H8</f>
        <v>0.9</v>
      </c>
      <c r="H6">
        <f>'Default Network Metrics'!I8</f>
        <v>0</v>
      </c>
      <c r="I6" s="35">
        <f>'Default Network Metrics'!J8</f>
        <v>0</v>
      </c>
      <c r="J6" s="35">
        <f>'Default Network Metrics'!K8</f>
        <v>0</v>
      </c>
      <c r="K6" s="35">
        <f>'Default Network Metrics'!L8</f>
        <v>0</v>
      </c>
      <c r="L6" s="35">
        <f>'Default Network Metrics'!M8</f>
        <v>0</v>
      </c>
      <c r="M6">
        <f>'Default Network Metrics'!N8</f>
        <v>0</v>
      </c>
      <c r="N6">
        <f>'Default Network Metrics'!O8</f>
        <v>0</v>
      </c>
      <c r="O6" s="35">
        <f>'Default Network Metrics'!P8</f>
        <v>0</v>
      </c>
      <c r="P6">
        <f>'Default Network Metrics'!Q8</f>
        <v>0</v>
      </c>
      <c r="Q6">
        <f>'Default Network Metrics'!R8</f>
        <v>0</v>
      </c>
      <c r="R6">
        <f>'Default Network Metrics'!S8</f>
        <v>0</v>
      </c>
      <c r="S6">
        <f>'Default Network Metrics'!T8</f>
        <v>0</v>
      </c>
      <c r="T6">
        <f>'Default Network Metrics'!U8</f>
        <v>0</v>
      </c>
      <c r="U6">
        <f>'Default Network Metrics'!V8</f>
        <v>0</v>
      </c>
      <c r="V6">
        <f>'Default Network Metrics'!W8</f>
        <v>0</v>
      </c>
      <c r="W6">
        <f>'Default Network Metrics'!X8</f>
        <v>0</v>
      </c>
      <c r="X6">
        <f>'Default Network Metrics'!Y8</f>
        <v>0</v>
      </c>
    </row>
    <row r="7" spans="1:24">
      <c r="A7">
        <f>'Default Network Metrics'!B9</f>
        <v>0</v>
      </c>
      <c r="B7">
        <f>'Default Network Metrics'!C9</f>
        <v>0</v>
      </c>
      <c r="C7">
        <f>'Default Network Metrics'!D9</f>
        <v>0</v>
      </c>
      <c r="D7">
        <f>'Default Network Metrics'!E9</f>
        <v>0</v>
      </c>
      <c r="E7">
        <f>'Default Network Metrics'!F9</f>
        <v>0</v>
      </c>
      <c r="F7">
        <f>'Default Network Metrics'!G9</f>
        <v>0</v>
      </c>
      <c r="G7">
        <f>'Default Network Metrics'!H9</f>
        <v>0</v>
      </c>
      <c r="H7">
        <f>'Default Network Metrics'!I9</f>
        <v>0.9</v>
      </c>
      <c r="I7" s="35">
        <f>'Default Network Metrics'!J9</f>
        <v>0</v>
      </c>
      <c r="J7" s="35">
        <f>'Default Network Metrics'!K9</f>
        <v>0</v>
      </c>
      <c r="K7" s="35">
        <f>'Default Network Metrics'!L9</f>
        <v>0</v>
      </c>
      <c r="L7" s="35">
        <f>'Default Network Metrics'!M9</f>
        <v>0</v>
      </c>
      <c r="M7">
        <f>'Default Network Metrics'!N9</f>
        <v>0</v>
      </c>
      <c r="N7">
        <f>'Default Network Metrics'!O9</f>
        <v>0</v>
      </c>
      <c r="O7" s="35">
        <f>'Default Network Metrics'!P9</f>
        <v>0</v>
      </c>
      <c r="P7">
        <f>'Default Network Metrics'!Q9</f>
        <v>0</v>
      </c>
      <c r="Q7">
        <f>'Default Network Metrics'!R9</f>
        <v>0</v>
      </c>
      <c r="R7">
        <f>'Default Network Metrics'!S9</f>
        <v>0</v>
      </c>
      <c r="S7">
        <f>'Default Network Metrics'!T9</f>
        <v>0</v>
      </c>
      <c r="T7">
        <f>'Default Network Metrics'!U9</f>
        <v>0</v>
      </c>
      <c r="U7">
        <f>'Default Network Metrics'!V9</f>
        <v>0</v>
      </c>
      <c r="V7">
        <f>'Default Network Metrics'!W9</f>
        <v>0</v>
      </c>
      <c r="W7">
        <f>'Default Network Metrics'!X9</f>
        <v>0</v>
      </c>
      <c r="X7">
        <f>'Default Network Metrics'!Y9</f>
        <v>0.5</v>
      </c>
    </row>
    <row r="8" spans="1:24">
      <c r="A8">
        <f>'Default Network Metrics'!B10</f>
        <v>0</v>
      </c>
      <c r="B8">
        <f>'Default Network Metrics'!C10</f>
        <v>0</v>
      </c>
      <c r="C8">
        <f>'Default Network Metrics'!D10</f>
        <v>0</v>
      </c>
      <c r="D8">
        <f>'Default Network Metrics'!E10</f>
        <v>0</v>
      </c>
      <c r="E8">
        <f>'Default Network Metrics'!F10</f>
        <v>0</v>
      </c>
      <c r="F8">
        <f>'Default Network Metrics'!G10</f>
        <v>0</v>
      </c>
      <c r="G8">
        <f>'Default Network Metrics'!H10</f>
        <v>0</v>
      </c>
      <c r="H8">
        <f>'Default Network Metrics'!I10</f>
        <v>0</v>
      </c>
      <c r="I8" s="35">
        <f>'Default Network Metrics'!J10</f>
        <v>0</v>
      </c>
      <c r="J8" s="35">
        <f>'Default Network Metrics'!K10</f>
        <v>0</v>
      </c>
      <c r="K8" s="35">
        <f>'Default Network Metrics'!L10</f>
        <v>0</v>
      </c>
      <c r="L8" s="35">
        <f>'Default Network Metrics'!M10</f>
        <v>0</v>
      </c>
      <c r="M8">
        <f>'Default Network Metrics'!N10</f>
        <v>0</v>
      </c>
      <c r="N8">
        <f>'Default Network Metrics'!O10</f>
        <v>0</v>
      </c>
      <c r="O8" s="35">
        <f>'Default Network Metrics'!P10</f>
        <v>0</v>
      </c>
      <c r="P8">
        <f>'Default Network Metrics'!Q10</f>
        <v>0</v>
      </c>
      <c r="Q8">
        <f>'Default Network Metrics'!R10</f>
        <v>0</v>
      </c>
      <c r="R8">
        <f>'Default Network Metrics'!S10</f>
        <v>0</v>
      </c>
      <c r="S8">
        <f>'Default Network Metrics'!T10</f>
        <v>0</v>
      </c>
      <c r="T8">
        <f>'Default Network Metrics'!U10</f>
        <v>0</v>
      </c>
      <c r="U8">
        <f>'Default Network Metrics'!V10</f>
        <v>0</v>
      </c>
      <c r="V8">
        <f>'Default Network Metrics'!W10</f>
        <v>0</v>
      </c>
      <c r="W8">
        <f>'Default Network Metrics'!X10</f>
        <v>0</v>
      </c>
      <c r="X8">
        <f>'Default Network Metrics'!Y10</f>
        <v>0.9</v>
      </c>
    </row>
    <row r="9" spans="1:24" s="35" customFormat="1">
      <c r="A9" s="35">
        <f>'Default Network Metrics'!B11</f>
        <v>0</v>
      </c>
      <c r="B9" s="35">
        <f>'Default Network Metrics'!C11</f>
        <v>0</v>
      </c>
      <c r="C9" s="35">
        <f>'Default Network Metrics'!D11</f>
        <v>0</v>
      </c>
      <c r="D9" s="35">
        <f>'Default Network Metrics'!E11</f>
        <v>0</v>
      </c>
      <c r="E9" s="35">
        <f>'Default Network Metrics'!F11</f>
        <v>0</v>
      </c>
      <c r="F9" s="35">
        <f>'Default Network Metrics'!G11</f>
        <v>0</v>
      </c>
      <c r="G9" s="35">
        <f>'Default Network Metrics'!H11</f>
        <v>0</v>
      </c>
      <c r="H9" s="35">
        <f>'Default Network Metrics'!I11</f>
        <v>0</v>
      </c>
      <c r="I9" s="36">
        <f>'Default Network Metrics'!J11</f>
        <v>0</v>
      </c>
      <c r="J9" s="35">
        <f>'Event Register'!H10</f>
        <v>0.9</v>
      </c>
      <c r="K9" s="35">
        <f>'Default Network Metrics'!L11</f>
        <v>0</v>
      </c>
      <c r="L9" s="35">
        <f>'Default Network Metrics'!M11</f>
        <v>0</v>
      </c>
      <c r="M9" s="35">
        <f>'Default Network Metrics'!N11</f>
        <v>0</v>
      </c>
      <c r="N9" s="35">
        <f>'Default Network Metrics'!O11</f>
        <v>0</v>
      </c>
      <c r="O9" s="35">
        <f>'Default Network Metrics'!P11</f>
        <v>0</v>
      </c>
      <c r="P9" s="35">
        <f>'Default Network Metrics'!Q11</f>
        <v>0</v>
      </c>
      <c r="Q9" s="35">
        <f>'Event Register'!H19</f>
        <v>1</v>
      </c>
      <c r="R9" s="35">
        <f>'Default Network Metrics'!S11</f>
        <v>0</v>
      </c>
      <c r="S9" s="35">
        <f>'Default Network Metrics'!T11</f>
        <v>0</v>
      </c>
      <c r="T9" s="35">
        <f>'Default Network Metrics'!U11</f>
        <v>0</v>
      </c>
      <c r="U9" s="35">
        <f>'Default Network Metrics'!V11</f>
        <v>0</v>
      </c>
      <c r="V9" s="35">
        <f>'Default Network Metrics'!W11</f>
        <v>0</v>
      </c>
      <c r="W9" s="35">
        <f>'Default Network Metrics'!X11</f>
        <v>0</v>
      </c>
      <c r="X9" s="35">
        <f>'Default Network Metrics'!Y11</f>
        <v>0</v>
      </c>
    </row>
    <row r="10" spans="1:24" s="35" customFormat="1">
      <c r="A10" s="35">
        <f>'Default Network Metrics'!B12</f>
        <v>0</v>
      </c>
      <c r="B10" s="35">
        <f>'Default Network Metrics'!C12</f>
        <v>0</v>
      </c>
      <c r="C10" s="35">
        <f>'Default Network Metrics'!D12</f>
        <v>0</v>
      </c>
      <c r="D10" s="35">
        <f>'Default Network Metrics'!E12</f>
        <v>0</v>
      </c>
      <c r="E10" s="35">
        <f>'Default Network Metrics'!F12</f>
        <v>0</v>
      </c>
      <c r="F10" s="35">
        <f>'Default Network Metrics'!G12</f>
        <v>0</v>
      </c>
      <c r="G10" s="35">
        <f>'Default Network Metrics'!H12</f>
        <v>0</v>
      </c>
      <c r="H10" s="35">
        <f>'Default Network Metrics'!I12</f>
        <v>0</v>
      </c>
      <c r="I10" s="35">
        <f>'Default Network Metrics'!J12</f>
        <v>0</v>
      </c>
      <c r="J10" s="36">
        <f>'Default Network Metrics'!K12</f>
        <v>0</v>
      </c>
      <c r="K10" s="35">
        <f>'Event Register'!H13</f>
        <v>0.9</v>
      </c>
      <c r="L10" s="35">
        <f>'Default Network Metrics'!M12</f>
        <v>0</v>
      </c>
      <c r="M10" s="35">
        <f>'Default Network Metrics'!N12</f>
        <v>0</v>
      </c>
      <c r="N10" s="35">
        <f>'Default Network Metrics'!O12</f>
        <v>0</v>
      </c>
      <c r="O10" s="35">
        <f>'Default Network Metrics'!P12</f>
        <v>0</v>
      </c>
      <c r="P10" s="35">
        <f>'Default Network Metrics'!Q12</f>
        <v>0</v>
      </c>
      <c r="Q10" s="35">
        <f>'Default Network Metrics'!R12</f>
        <v>0</v>
      </c>
      <c r="R10" s="35">
        <f>'Default Network Metrics'!S12</f>
        <v>0</v>
      </c>
      <c r="S10" s="35">
        <f>'Default Network Metrics'!T12</f>
        <v>0</v>
      </c>
      <c r="T10" s="35">
        <f>'Default Network Metrics'!U12</f>
        <v>0</v>
      </c>
      <c r="U10" s="35">
        <f>'Default Network Metrics'!V12</f>
        <v>0</v>
      </c>
      <c r="V10" s="35">
        <f>'Default Network Metrics'!W12</f>
        <v>0</v>
      </c>
      <c r="W10" s="35">
        <f>'Default Network Metrics'!X12</f>
        <v>0</v>
      </c>
      <c r="X10" s="35">
        <f>'Default Network Metrics'!Y12</f>
        <v>0</v>
      </c>
    </row>
    <row r="11" spans="1:24" s="21" customFormat="1">
      <c r="A11" s="35">
        <f>'Default Network Metrics'!B13</f>
        <v>0</v>
      </c>
      <c r="B11" s="35">
        <f>'Default Network Metrics'!C13</f>
        <v>0</v>
      </c>
      <c r="C11" s="35">
        <f>'Default Network Metrics'!D13</f>
        <v>0</v>
      </c>
      <c r="D11" s="35">
        <f>'Default Network Metrics'!E13</f>
        <v>0</v>
      </c>
      <c r="E11" s="35">
        <f>'Default Network Metrics'!F13</f>
        <v>0</v>
      </c>
      <c r="F11" s="35">
        <f>'Default Network Metrics'!G13</f>
        <v>0</v>
      </c>
      <c r="G11" s="35">
        <f>'Default Network Metrics'!H13</f>
        <v>0</v>
      </c>
      <c r="H11" s="35">
        <f>'Default Network Metrics'!I13</f>
        <v>0</v>
      </c>
      <c r="I11" s="35">
        <f>'Default Network Metrics'!J13</f>
        <v>0</v>
      </c>
      <c r="J11" s="35">
        <f>'Default Network Metrics'!K13</f>
        <v>0</v>
      </c>
      <c r="K11" s="36">
        <f>'Default Network Metrics'!L13</f>
        <v>0</v>
      </c>
      <c r="L11" s="35">
        <f>'Event Register'!H16</f>
        <v>0.9</v>
      </c>
      <c r="M11" s="35">
        <f>'Default Network Metrics'!N13</f>
        <v>0</v>
      </c>
      <c r="N11" s="35">
        <f>'Default Network Metrics'!O13</f>
        <v>0</v>
      </c>
      <c r="O11" s="35">
        <f>'Default Network Metrics'!P13</f>
        <v>0</v>
      </c>
      <c r="P11" s="35">
        <f>'Default Network Metrics'!Q13</f>
        <v>0</v>
      </c>
      <c r="Q11" s="35">
        <f>'Default Network Metrics'!R13</f>
        <v>0</v>
      </c>
      <c r="R11" s="35">
        <f>'Default Network Metrics'!S13</f>
        <v>0</v>
      </c>
      <c r="S11" s="35">
        <f>'Default Network Metrics'!T13</f>
        <v>0</v>
      </c>
      <c r="T11" s="35">
        <f>'Default Network Metrics'!U13</f>
        <v>0</v>
      </c>
      <c r="U11" s="35">
        <f>'Default Network Metrics'!V13</f>
        <v>0</v>
      </c>
      <c r="V11" s="35">
        <f>'Default Network Metrics'!W13</f>
        <v>0</v>
      </c>
      <c r="W11" s="35">
        <f>'Default Network Metrics'!X13</f>
        <v>0</v>
      </c>
      <c r="X11" s="35">
        <f>'Event Register'!H22</f>
        <v>0.5</v>
      </c>
    </row>
    <row r="12" spans="1:24" s="35" customFormat="1">
      <c r="A12" s="35">
        <f>'Default Network Metrics'!B14</f>
        <v>0</v>
      </c>
      <c r="B12" s="35">
        <f>'Default Network Metrics'!C14</f>
        <v>0</v>
      </c>
      <c r="C12" s="35">
        <f>'Default Network Metrics'!D14</f>
        <v>0</v>
      </c>
      <c r="D12" s="35">
        <f>'Default Network Metrics'!E14</f>
        <v>0</v>
      </c>
      <c r="E12" s="35">
        <f>'Default Network Metrics'!F14</f>
        <v>0</v>
      </c>
      <c r="F12" s="35">
        <f>'Default Network Metrics'!G14</f>
        <v>0</v>
      </c>
      <c r="G12" s="35">
        <f>'Default Network Metrics'!H14</f>
        <v>0</v>
      </c>
      <c r="H12" s="35">
        <f>'Default Network Metrics'!I14</f>
        <v>0</v>
      </c>
      <c r="I12" s="35">
        <f>'Default Network Metrics'!J14</f>
        <v>0</v>
      </c>
      <c r="J12" s="35">
        <f>'Default Network Metrics'!K14</f>
        <v>0</v>
      </c>
      <c r="K12" s="35">
        <f>'Default Network Metrics'!L14</f>
        <v>0</v>
      </c>
      <c r="L12" s="36">
        <f>'Default Network Metrics'!M14</f>
        <v>0</v>
      </c>
      <c r="M12" s="35">
        <f>'Default Network Metrics'!N14</f>
        <v>0</v>
      </c>
      <c r="N12" s="35">
        <f>'Default Network Metrics'!O14</f>
        <v>0</v>
      </c>
      <c r="O12" s="35">
        <f>'Default Network Metrics'!P14</f>
        <v>0</v>
      </c>
      <c r="P12" s="35">
        <f>'Default Network Metrics'!Q14</f>
        <v>0</v>
      </c>
      <c r="Q12" s="35">
        <f>'Default Network Metrics'!R14</f>
        <v>0</v>
      </c>
      <c r="R12" s="35">
        <f>'Default Network Metrics'!S14</f>
        <v>0</v>
      </c>
      <c r="S12" s="35">
        <f>'Default Network Metrics'!T14</f>
        <v>0</v>
      </c>
      <c r="T12" s="35">
        <f>'Default Network Metrics'!U14</f>
        <v>0</v>
      </c>
      <c r="U12" s="35">
        <f>'Default Network Metrics'!V14</f>
        <v>0</v>
      </c>
      <c r="V12" s="35">
        <f>'Default Network Metrics'!W14</f>
        <v>0</v>
      </c>
      <c r="W12" s="35">
        <f>'Default Network Metrics'!X14</f>
        <v>0</v>
      </c>
      <c r="X12" s="35">
        <f>'Event Register'!H25</f>
        <v>0.9</v>
      </c>
    </row>
    <row r="13" spans="1:24">
      <c r="A13">
        <f>'Default Network Metrics'!B15</f>
        <v>0</v>
      </c>
      <c r="B13">
        <f>'Default Network Metrics'!C15</f>
        <v>0</v>
      </c>
      <c r="C13">
        <f>'Default Network Metrics'!D15</f>
        <v>0</v>
      </c>
      <c r="D13">
        <f>'Default Network Metrics'!E15</f>
        <v>0</v>
      </c>
      <c r="E13">
        <f>'Default Network Metrics'!F15</f>
        <v>0</v>
      </c>
      <c r="F13">
        <f>'Default Network Metrics'!G15</f>
        <v>0</v>
      </c>
      <c r="G13">
        <f>'Default Network Metrics'!H15</f>
        <v>0</v>
      </c>
      <c r="H13">
        <f>'Default Network Metrics'!I15</f>
        <v>0</v>
      </c>
      <c r="I13" s="35">
        <f>'Default Network Metrics'!J15</f>
        <v>0</v>
      </c>
      <c r="J13" s="35">
        <f>'Default Network Metrics'!K15</f>
        <v>0</v>
      </c>
      <c r="K13" s="35">
        <f>'Default Network Metrics'!L15</f>
        <v>0</v>
      </c>
      <c r="L13" s="35">
        <f>'Default Network Metrics'!M15</f>
        <v>0</v>
      </c>
      <c r="M13">
        <f>'Default Network Metrics'!N15</f>
        <v>0</v>
      </c>
      <c r="N13">
        <f>'Default Network Metrics'!O15</f>
        <v>0.9</v>
      </c>
      <c r="O13" s="35">
        <f>'Default Network Metrics'!P15</f>
        <v>0</v>
      </c>
      <c r="P13">
        <f>'Default Network Metrics'!Q15</f>
        <v>0</v>
      </c>
      <c r="Q13">
        <f>'Default Network Metrics'!R15</f>
        <v>0</v>
      </c>
      <c r="R13">
        <f>'Default Network Metrics'!S15</f>
        <v>0</v>
      </c>
      <c r="S13">
        <f>'Default Network Metrics'!T15</f>
        <v>0</v>
      </c>
      <c r="T13">
        <f>'Default Network Metrics'!U15</f>
        <v>0</v>
      </c>
      <c r="U13">
        <f>'Default Network Metrics'!V15</f>
        <v>0</v>
      </c>
      <c r="V13">
        <f>'Default Network Metrics'!W15</f>
        <v>0</v>
      </c>
      <c r="W13">
        <f>'Default Network Metrics'!X15</f>
        <v>0</v>
      </c>
      <c r="X13">
        <f>'Default Network Metrics'!Y15</f>
        <v>0</v>
      </c>
    </row>
    <row r="14" spans="1:24">
      <c r="A14">
        <f>'Default Network Metrics'!B16</f>
        <v>0</v>
      </c>
      <c r="B14">
        <f>'Default Network Metrics'!C16</f>
        <v>0</v>
      </c>
      <c r="C14">
        <f>MAX('Event Register'!H57,'Event Register'!H73)</f>
        <v>5</v>
      </c>
      <c r="D14">
        <f>'Default Network Metrics'!E16</f>
        <v>0</v>
      </c>
      <c r="E14">
        <f>'Default Network Metrics'!F16</f>
        <v>0</v>
      </c>
      <c r="F14">
        <f>'Default Network Metrics'!G16</f>
        <v>0</v>
      </c>
      <c r="G14">
        <f>'Default Network Metrics'!H16</f>
        <v>0</v>
      </c>
      <c r="H14">
        <f>'Default Network Metrics'!I16</f>
        <v>0</v>
      </c>
      <c r="I14" s="35">
        <f>'Default Network Metrics'!J16</f>
        <v>0</v>
      </c>
      <c r="J14" s="35">
        <f>'Default Network Metrics'!K16</f>
        <v>0</v>
      </c>
      <c r="K14" s="35">
        <f>'Default Network Metrics'!L16</f>
        <v>0</v>
      </c>
      <c r="L14" s="35">
        <f>'Default Network Metrics'!M16</f>
        <v>0</v>
      </c>
      <c r="M14">
        <f>'Default Network Metrics'!N16</f>
        <v>0</v>
      </c>
      <c r="N14">
        <f>'Default Network Metrics'!O16</f>
        <v>0</v>
      </c>
      <c r="O14" s="35">
        <f>MAX('Event Register'!H38,'Event Register'!H51)</f>
        <v>0</v>
      </c>
      <c r="P14">
        <f>'Default Network Metrics'!Q16</f>
        <v>0</v>
      </c>
      <c r="Q14">
        <f>'Default Network Metrics'!R16</f>
        <v>0</v>
      </c>
      <c r="R14">
        <f>'Default Network Metrics'!S16</f>
        <v>0</v>
      </c>
      <c r="S14">
        <f>'Default Network Metrics'!T16</f>
        <v>0</v>
      </c>
      <c r="T14">
        <f>'Default Network Metrics'!U16</f>
        <v>0</v>
      </c>
      <c r="U14">
        <f>'Default Network Metrics'!V16</f>
        <v>0</v>
      </c>
      <c r="V14">
        <f>'Default Network Metrics'!W16</f>
        <v>0</v>
      </c>
      <c r="W14">
        <f>'Default Network Metrics'!X16</f>
        <v>0</v>
      </c>
      <c r="X14">
        <f>'Default Network Metrics'!Y16</f>
        <v>0</v>
      </c>
    </row>
    <row r="15" spans="1:24" s="35" customFormat="1">
      <c r="A15" s="35">
        <f>'Default Network Metrics'!B17</f>
        <v>0</v>
      </c>
      <c r="B15" s="35">
        <f>'Default Network Metrics'!C17</f>
        <v>0</v>
      </c>
      <c r="C15" s="35">
        <f>MAX('Event Register'!H60)</f>
        <v>0</v>
      </c>
      <c r="D15" s="35">
        <f>'Default Network Metrics'!E17</f>
        <v>0</v>
      </c>
      <c r="E15" s="35">
        <f>'Default Network Metrics'!F17</f>
        <v>0</v>
      </c>
      <c r="F15" s="35">
        <f>'Default Network Metrics'!G17</f>
        <v>0</v>
      </c>
      <c r="G15" s="35">
        <f>'Default Network Metrics'!H17</f>
        <v>0</v>
      </c>
      <c r="H15" s="35">
        <f>'Default Network Metrics'!I17</f>
        <v>0</v>
      </c>
      <c r="I15" s="35">
        <f>'Default Network Metrics'!J17</f>
        <v>0</v>
      </c>
      <c r="J15" s="35">
        <f>'Default Network Metrics'!K17</f>
        <v>0</v>
      </c>
      <c r="K15" s="35">
        <f>'Default Network Metrics'!L17</f>
        <v>0</v>
      </c>
      <c r="L15" s="35">
        <f>'Default Network Metrics'!M17</f>
        <v>0</v>
      </c>
      <c r="M15" s="35">
        <f>'Default Network Metrics'!N17</f>
        <v>0</v>
      </c>
      <c r="N15" s="35">
        <f>'Default Network Metrics'!O17</f>
        <v>0</v>
      </c>
      <c r="O15" s="36">
        <f>'Default Network Metrics'!P17</f>
        <v>0</v>
      </c>
      <c r="P15" s="35">
        <f>MAX('Event Register'!H41,'Event Register'!H54)</f>
        <v>0</v>
      </c>
      <c r="Q15" s="35">
        <f>'Default Network Metrics'!R17</f>
        <v>0</v>
      </c>
      <c r="R15" s="35">
        <f>'Default Network Metrics'!S17</f>
        <v>0</v>
      </c>
      <c r="S15" s="35">
        <f>'Default Network Metrics'!T17</f>
        <v>0</v>
      </c>
      <c r="T15" s="35">
        <f>'Default Network Metrics'!U17</f>
        <v>0</v>
      </c>
      <c r="U15" s="35">
        <f>'Default Network Metrics'!V17</f>
        <v>0</v>
      </c>
      <c r="V15" s="35">
        <f>'Default Network Metrics'!W17</f>
        <v>0</v>
      </c>
      <c r="W15" s="35">
        <f>'Default Network Metrics'!X17</f>
        <v>0</v>
      </c>
      <c r="X15" s="35">
        <f>'Default Network Metrics'!Y17</f>
        <v>0</v>
      </c>
    </row>
    <row r="16" spans="1:24">
      <c r="A16">
        <f>'Default Network Metrics'!B18</f>
        <v>0.8</v>
      </c>
      <c r="B16">
        <f>'Default Network Metrics'!C18</f>
        <v>0</v>
      </c>
      <c r="C16">
        <f>'Default Network Metrics'!D18</f>
        <v>0</v>
      </c>
      <c r="D16">
        <f>'Default Network Metrics'!E18</f>
        <v>0</v>
      </c>
      <c r="E16">
        <f>'Default Network Metrics'!F18</f>
        <v>0.8</v>
      </c>
      <c r="F16">
        <f>'Default Network Metrics'!G18</f>
        <v>0</v>
      </c>
      <c r="G16">
        <f>'Default Network Metrics'!H18</f>
        <v>0</v>
      </c>
      <c r="H16">
        <f>'Default Network Metrics'!I18</f>
        <v>0</v>
      </c>
      <c r="I16" s="35">
        <f>'Event Register'!H28</f>
        <v>0.8</v>
      </c>
      <c r="J16" s="35">
        <f>'Default Network Metrics'!K18</f>
        <v>0</v>
      </c>
      <c r="K16" s="35">
        <f>'Default Network Metrics'!L18</f>
        <v>0</v>
      </c>
      <c r="L16" s="35">
        <f>'Default Network Metrics'!M18</f>
        <v>0</v>
      </c>
      <c r="M16">
        <f>'Default Network Metrics'!N18</f>
        <v>0.9</v>
      </c>
      <c r="N16">
        <f>'Default Network Metrics'!O18</f>
        <v>0</v>
      </c>
      <c r="O16" s="35">
        <f>'Default Network Metrics'!P18</f>
        <v>0</v>
      </c>
      <c r="P16">
        <f>'Default Network Metrics'!Q18</f>
        <v>0</v>
      </c>
      <c r="Q16">
        <f>'Default Network Metrics'!R18</f>
        <v>0</v>
      </c>
      <c r="R16">
        <f>'Default Network Metrics'!S18</f>
        <v>0</v>
      </c>
      <c r="S16">
        <f>'Default Network Metrics'!T18</f>
        <v>0</v>
      </c>
      <c r="T16">
        <f>'Default Network Metrics'!U18</f>
        <v>0</v>
      </c>
      <c r="U16">
        <f>'Default Network Metrics'!V18</f>
        <v>0</v>
      </c>
      <c r="V16">
        <f>'Default Network Metrics'!W18</f>
        <v>0</v>
      </c>
      <c r="W16">
        <f>'Default Network Metrics'!X18</f>
        <v>0</v>
      </c>
      <c r="X16">
        <f>'Default Network Metrics'!Y18</f>
        <v>0.9</v>
      </c>
    </row>
    <row r="17" spans="1:24">
      <c r="A17">
        <f>'Default Network Metrics'!B19</f>
        <v>0</v>
      </c>
      <c r="B17">
        <f>'Default Network Metrics'!C19</f>
        <v>0</v>
      </c>
      <c r="C17">
        <f>'Default Network Metrics'!D19</f>
        <v>0</v>
      </c>
      <c r="D17">
        <f>'Default Network Metrics'!E19</f>
        <v>0</v>
      </c>
      <c r="E17">
        <f>'Default Network Metrics'!F19</f>
        <v>0</v>
      </c>
      <c r="F17">
        <f>'Default Network Metrics'!G19</f>
        <v>0</v>
      </c>
      <c r="G17">
        <f>'Default Network Metrics'!H19</f>
        <v>0</v>
      </c>
      <c r="H17">
        <f>'Default Network Metrics'!I19</f>
        <v>0</v>
      </c>
      <c r="I17" s="35">
        <f>'Default Network Metrics'!J19</f>
        <v>0</v>
      </c>
      <c r="J17" s="35">
        <f>'Default Network Metrics'!K19</f>
        <v>0</v>
      </c>
      <c r="K17" s="35">
        <f>'Default Network Metrics'!L19</f>
        <v>0</v>
      </c>
      <c r="L17" s="35">
        <f>'Default Network Metrics'!M19</f>
        <v>0</v>
      </c>
      <c r="M17">
        <f>'Default Network Metrics'!N19</f>
        <v>0</v>
      </c>
      <c r="N17">
        <f>'Default Network Metrics'!O19</f>
        <v>0</v>
      </c>
      <c r="O17" s="35">
        <f>'Default Network Metrics'!P19</f>
        <v>0</v>
      </c>
      <c r="P17">
        <f>'Default Network Metrics'!Q19</f>
        <v>0</v>
      </c>
      <c r="Q17">
        <f>'Default Network Metrics'!R19</f>
        <v>0</v>
      </c>
      <c r="R17">
        <f>'Default Network Metrics'!S19</f>
        <v>0.9</v>
      </c>
      <c r="S17">
        <f>'Default Network Metrics'!T19</f>
        <v>0</v>
      </c>
      <c r="T17">
        <f>'Default Network Metrics'!U19</f>
        <v>0.5</v>
      </c>
      <c r="U17">
        <f>'Default Network Metrics'!V19</f>
        <v>0</v>
      </c>
      <c r="V17">
        <f>'Default Network Metrics'!W19</f>
        <v>0</v>
      </c>
      <c r="W17">
        <f>'Default Network Metrics'!X19</f>
        <v>0</v>
      </c>
      <c r="X17">
        <f>'Default Network Metrics'!Y19</f>
        <v>0</v>
      </c>
    </row>
    <row r="18" spans="1:24">
      <c r="A18">
        <f>'Default Network Metrics'!B20</f>
        <v>0.5</v>
      </c>
      <c r="B18">
        <f>'Default Network Metrics'!C20</f>
        <v>0</v>
      </c>
      <c r="C18">
        <f>'Default Network Metrics'!D20</f>
        <v>0</v>
      </c>
      <c r="D18">
        <f>'Default Network Metrics'!E20</f>
        <v>0</v>
      </c>
      <c r="E18">
        <f>'Default Network Metrics'!F20</f>
        <v>0.5</v>
      </c>
      <c r="F18">
        <f>'Default Network Metrics'!G20</f>
        <v>0</v>
      </c>
      <c r="G18">
        <f>'Default Network Metrics'!H20</f>
        <v>0</v>
      </c>
      <c r="H18">
        <f>'Default Network Metrics'!I20</f>
        <v>0</v>
      </c>
      <c r="I18" s="35">
        <f>'Event Register'!H31</f>
        <v>0.5</v>
      </c>
      <c r="J18" s="35">
        <f>'Default Network Metrics'!K20</f>
        <v>0</v>
      </c>
      <c r="K18" s="35">
        <f>'Default Network Metrics'!L20</f>
        <v>0</v>
      </c>
      <c r="L18" s="35">
        <f>'Default Network Metrics'!M20</f>
        <v>0</v>
      </c>
      <c r="M18">
        <f>'Default Network Metrics'!N20</f>
        <v>0</v>
      </c>
      <c r="N18">
        <f>'Default Network Metrics'!O20</f>
        <v>0</v>
      </c>
      <c r="O18" s="35">
        <f>'Default Network Metrics'!P20</f>
        <v>0</v>
      </c>
      <c r="P18">
        <f>'Default Network Metrics'!Q20</f>
        <v>0</v>
      </c>
      <c r="Q18">
        <f>'Default Network Metrics'!R20</f>
        <v>0</v>
      </c>
      <c r="R18">
        <f>'Default Network Metrics'!S20</f>
        <v>0</v>
      </c>
      <c r="S18">
        <f>'Default Network Metrics'!T20</f>
        <v>0.9</v>
      </c>
      <c r="T18">
        <f>'Default Network Metrics'!U20</f>
        <v>0.5</v>
      </c>
      <c r="U18">
        <f>'Default Network Metrics'!V20</f>
        <v>0</v>
      </c>
      <c r="V18">
        <f>'Default Network Metrics'!W20</f>
        <v>0</v>
      </c>
      <c r="W18">
        <f>'Default Network Metrics'!X20</f>
        <v>0</v>
      </c>
      <c r="X18">
        <f>'Default Network Metrics'!Y20</f>
        <v>0</v>
      </c>
    </row>
    <row r="19" spans="1:24">
      <c r="A19">
        <f>'Default Network Metrics'!B21</f>
        <v>0.2</v>
      </c>
      <c r="B19">
        <f>'Default Network Metrics'!C21</f>
        <v>0</v>
      </c>
      <c r="C19">
        <f>'Default Network Metrics'!D21</f>
        <v>0</v>
      </c>
      <c r="D19">
        <f>'Default Network Metrics'!E21</f>
        <v>0</v>
      </c>
      <c r="E19">
        <f>'Default Network Metrics'!F21</f>
        <v>0.2</v>
      </c>
      <c r="F19">
        <f>'Default Network Metrics'!G21</f>
        <v>0</v>
      </c>
      <c r="G19">
        <f>'Default Network Metrics'!H21</f>
        <v>0</v>
      </c>
      <c r="H19">
        <f>'Default Network Metrics'!I21</f>
        <v>0</v>
      </c>
      <c r="I19" s="35">
        <f>'Event Register'!H34</f>
        <v>0.2</v>
      </c>
      <c r="J19" s="35">
        <f>'Default Network Metrics'!K21</f>
        <v>0</v>
      </c>
      <c r="K19" s="35">
        <f>'Default Network Metrics'!L21</f>
        <v>0</v>
      </c>
      <c r="L19" s="35">
        <f>'Default Network Metrics'!M21</f>
        <v>0</v>
      </c>
      <c r="M19">
        <f>'Default Network Metrics'!N21</f>
        <v>0</v>
      </c>
      <c r="N19">
        <f>'Default Network Metrics'!O21</f>
        <v>0</v>
      </c>
      <c r="O19" s="35">
        <f>'Default Network Metrics'!P21</f>
        <v>0</v>
      </c>
      <c r="P19">
        <f>'Default Network Metrics'!Q21</f>
        <v>0</v>
      </c>
      <c r="Q19">
        <f>'Default Network Metrics'!R21</f>
        <v>0</v>
      </c>
      <c r="R19">
        <f>'Default Network Metrics'!S21</f>
        <v>0</v>
      </c>
      <c r="S19">
        <f>'Default Network Metrics'!T21</f>
        <v>0</v>
      </c>
      <c r="T19">
        <f>'Default Network Metrics'!U21</f>
        <v>0</v>
      </c>
      <c r="U19">
        <f>'Default Network Metrics'!V21</f>
        <v>0</v>
      </c>
      <c r="V19">
        <f>'Default Network Metrics'!W21</f>
        <v>0</v>
      </c>
      <c r="W19">
        <f>'Default Network Metrics'!X21</f>
        <v>0</v>
      </c>
      <c r="X19">
        <f>'Default Network Metrics'!Y21</f>
        <v>0</v>
      </c>
    </row>
    <row r="20" spans="1:24">
      <c r="A20">
        <f>'Default Network Metrics'!B22</f>
        <v>0</v>
      </c>
      <c r="B20">
        <f>'Default Network Metrics'!C22</f>
        <v>0</v>
      </c>
      <c r="C20">
        <f>'Default Network Metrics'!D22</f>
        <v>0</v>
      </c>
      <c r="D20">
        <f>'Default Network Metrics'!E22</f>
        <v>0</v>
      </c>
      <c r="E20">
        <f>'Default Network Metrics'!F22</f>
        <v>0</v>
      </c>
      <c r="F20">
        <f>'Default Network Metrics'!G22</f>
        <v>0</v>
      </c>
      <c r="G20">
        <f>'Default Network Metrics'!H22</f>
        <v>0</v>
      </c>
      <c r="H20">
        <f>'Default Network Metrics'!I22</f>
        <v>0</v>
      </c>
      <c r="I20" s="35">
        <f>'Default Network Metrics'!J22</f>
        <v>0</v>
      </c>
      <c r="J20" s="35">
        <f>'Default Network Metrics'!K22</f>
        <v>0</v>
      </c>
      <c r="K20" s="35">
        <f>'Default Network Metrics'!L22</f>
        <v>0</v>
      </c>
      <c r="L20" s="35">
        <f>'Default Network Metrics'!M22</f>
        <v>0</v>
      </c>
      <c r="M20">
        <f>'Default Network Metrics'!N22</f>
        <v>0</v>
      </c>
      <c r="N20">
        <f>'Default Network Metrics'!O22</f>
        <v>0</v>
      </c>
      <c r="O20" s="35">
        <f>'Default Network Metrics'!P22</f>
        <v>0</v>
      </c>
      <c r="P20">
        <f>'Default Network Metrics'!Q22</f>
        <v>0</v>
      </c>
      <c r="Q20">
        <f>'Default Network Metrics'!R22</f>
        <v>0</v>
      </c>
      <c r="R20">
        <f>'Default Network Metrics'!S22</f>
        <v>0</v>
      </c>
      <c r="S20">
        <f>'Default Network Metrics'!T22</f>
        <v>0</v>
      </c>
      <c r="T20">
        <f>'Default Network Metrics'!U22</f>
        <v>0</v>
      </c>
      <c r="U20">
        <f>'Default Network Metrics'!V22</f>
        <v>0.9</v>
      </c>
      <c r="V20">
        <f>'Default Network Metrics'!W22</f>
        <v>0</v>
      </c>
      <c r="W20">
        <f>'Default Network Metrics'!X22</f>
        <v>0</v>
      </c>
      <c r="X20">
        <f>'Default Network Metrics'!Y22</f>
        <v>0</v>
      </c>
    </row>
    <row r="21" spans="1:24">
      <c r="A21">
        <f>'Default Network Metrics'!B23</f>
        <v>0</v>
      </c>
      <c r="B21">
        <f>'Default Network Metrics'!C23</f>
        <v>0</v>
      </c>
      <c r="C21">
        <f>'Default Network Metrics'!D23</f>
        <v>0</v>
      </c>
      <c r="D21">
        <f>'Default Network Metrics'!E23</f>
        <v>0</v>
      </c>
      <c r="E21">
        <f>'Default Network Metrics'!F23</f>
        <v>0</v>
      </c>
      <c r="F21">
        <f>'Default Network Metrics'!G23</f>
        <v>0</v>
      </c>
      <c r="G21">
        <f>'Default Network Metrics'!H23</f>
        <v>0</v>
      </c>
      <c r="H21">
        <f>'Default Network Metrics'!I23</f>
        <v>0</v>
      </c>
      <c r="I21" s="35">
        <f>'Default Network Metrics'!J23</f>
        <v>0</v>
      </c>
      <c r="J21" s="35">
        <f>'Default Network Metrics'!K23</f>
        <v>0</v>
      </c>
      <c r="K21" s="35">
        <f>'Default Network Metrics'!L23</f>
        <v>0</v>
      </c>
      <c r="L21" s="35">
        <f>'Default Network Metrics'!M23</f>
        <v>0</v>
      </c>
      <c r="M21">
        <f>'Default Network Metrics'!N23</f>
        <v>0</v>
      </c>
      <c r="N21">
        <f>'Default Network Metrics'!O23</f>
        <v>0</v>
      </c>
      <c r="O21" s="35">
        <f>'Default Network Metrics'!P23</f>
        <v>0</v>
      </c>
      <c r="P21">
        <f>'Default Network Metrics'!Q23</f>
        <v>0</v>
      </c>
      <c r="Q21">
        <f>'Default Network Metrics'!R23</f>
        <v>0</v>
      </c>
      <c r="R21">
        <f>'Default Network Metrics'!S23</f>
        <v>0</v>
      </c>
      <c r="S21">
        <f>'Default Network Metrics'!T23</f>
        <v>0</v>
      </c>
      <c r="T21">
        <f>'Default Network Metrics'!U23</f>
        <v>0</v>
      </c>
      <c r="U21">
        <f>'Default Network Metrics'!V23</f>
        <v>0</v>
      </c>
      <c r="V21">
        <f>'Default Network Metrics'!W23</f>
        <v>0.9</v>
      </c>
      <c r="W21">
        <f>'Default Network Metrics'!X23</f>
        <v>0</v>
      </c>
      <c r="X21">
        <f>'Default Network Metrics'!Y23</f>
        <v>0</v>
      </c>
    </row>
    <row r="22" spans="1:24">
      <c r="A22">
        <f>'Default Network Metrics'!B24</f>
        <v>0</v>
      </c>
      <c r="B22">
        <f>'Default Network Metrics'!C24</f>
        <v>0</v>
      </c>
      <c r="C22">
        <f>'Default Network Metrics'!D24</f>
        <v>0</v>
      </c>
      <c r="D22">
        <f>'Default Network Metrics'!E24</f>
        <v>0</v>
      </c>
      <c r="E22">
        <f>'Default Network Metrics'!F24</f>
        <v>0</v>
      </c>
      <c r="F22">
        <f>'Default Network Metrics'!G24</f>
        <v>0</v>
      </c>
      <c r="G22">
        <f>'Default Network Metrics'!H24</f>
        <v>0</v>
      </c>
      <c r="H22">
        <f>'Default Network Metrics'!I24</f>
        <v>0</v>
      </c>
      <c r="I22" s="35">
        <f>'Default Network Metrics'!J24</f>
        <v>0</v>
      </c>
      <c r="J22" s="35">
        <f>'Default Network Metrics'!K24</f>
        <v>0</v>
      </c>
      <c r="K22" s="35">
        <f>'Default Network Metrics'!L24</f>
        <v>0</v>
      </c>
      <c r="L22" s="35">
        <f>'Default Network Metrics'!M24</f>
        <v>0</v>
      </c>
      <c r="M22">
        <f>'Default Network Metrics'!N24</f>
        <v>0</v>
      </c>
      <c r="N22">
        <f>'Default Network Metrics'!O24</f>
        <v>0</v>
      </c>
      <c r="O22" s="35">
        <f>'Default Network Metrics'!P24</f>
        <v>0</v>
      </c>
      <c r="P22">
        <f>'Default Network Metrics'!Q24</f>
        <v>0</v>
      </c>
      <c r="Q22">
        <f>'Default Network Metrics'!R24</f>
        <v>0</v>
      </c>
      <c r="R22">
        <f>'Default Network Metrics'!S24</f>
        <v>0</v>
      </c>
      <c r="S22">
        <f>'Default Network Metrics'!T24</f>
        <v>0</v>
      </c>
      <c r="T22">
        <f>'Default Network Metrics'!U24</f>
        <v>0</v>
      </c>
      <c r="U22">
        <f>'Default Network Metrics'!V24</f>
        <v>0</v>
      </c>
      <c r="V22">
        <f>'Default Network Metrics'!W24</f>
        <v>0</v>
      </c>
      <c r="W22">
        <f>'Default Network Metrics'!X24</f>
        <v>0.9</v>
      </c>
      <c r="X22">
        <f>'Default Network Metrics'!Y24</f>
        <v>0</v>
      </c>
    </row>
    <row r="23" spans="1:24">
      <c r="A23">
        <f>'Default Network Metrics'!B25</f>
        <v>0</v>
      </c>
      <c r="B23">
        <f>'Default Network Metrics'!C25</f>
        <v>0</v>
      </c>
      <c r="C23">
        <f>'Default Network Metrics'!D25</f>
        <v>0</v>
      </c>
      <c r="D23">
        <f>'Default Network Metrics'!E25</f>
        <v>0</v>
      </c>
      <c r="E23">
        <f>'Default Network Metrics'!F25</f>
        <v>0</v>
      </c>
      <c r="F23">
        <f>'Default Network Metrics'!G25</f>
        <v>0</v>
      </c>
      <c r="G23">
        <f>'Default Network Metrics'!H25</f>
        <v>0</v>
      </c>
      <c r="H23">
        <f>'Default Network Metrics'!I25</f>
        <v>0</v>
      </c>
      <c r="I23" s="35">
        <f>'Default Network Metrics'!J25</f>
        <v>0</v>
      </c>
      <c r="J23" s="35">
        <f>'Default Network Metrics'!K25</f>
        <v>0</v>
      </c>
      <c r="K23" s="35">
        <f>'Default Network Metrics'!L25</f>
        <v>0</v>
      </c>
      <c r="L23" s="35">
        <f>'Default Network Metrics'!M25</f>
        <v>0</v>
      </c>
      <c r="M23">
        <f>'Default Network Metrics'!N25</f>
        <v>0</v>
      </c>
      <c r="N23">
        <f>'Default Network Metrics'!O25</f>
        <v>0</v>
      </c>
      <c r="O23" s="35">
        <f>'Default Network Metrics'!P25</f>
        <v>0</v>
      </c>
      <c r="P23">
        <f>'Default Network Metrics'!Q25</f>
        <v>0</v>
      </c>
      <c r="Q23">
        <f>'Default Network Metrics'!R25</f>
        <v>0</v>
      </c>
      <c r="R23">
        <f>'Default Network Metrics'!S25</f>
        <v>0</v>
      </c>
      <c r="S23">
        <f>'Default Network Metrics'!T25</f>
        <v>0</v>
      </c>
      <c r="T23">
        <f>'Default Network Metrics'!U25</f>
        <v>0</v>
      </c>
      <c r="U23">
        <f>'Default Network Metrics'!V25</f>
        <v>0</v>
      </c>
      <c r="V23">
        <f>'Default Network Metrics'!W25</f>
        <v>0</v>
      </c>
      <c r="W23">
        <f>'Default Network Metrics'!X25</f>
        <v>0</v>
      </c>
      <c r="X23">
        <f>'Default Network Metrics'!Y25</f>
        <v>0</v>
      </c>
    </row>
    <row r="24" spans="1:24">
      <c r="A24">
        <f>'Default Network Metrics'!B26</f>
        <v>0</v>
      </c>
      <c r="B24">
        <f>'Default Network Metrics'!C26</f>
        <v>0</v>
      </c>
      <c r="C24">
        <f>'Default Network Metrics'!D26</f>
        <v>0</v>
      </c>
      <c r="D24">
        <f>'Default Network Metrics'!E26</f>
        <v>0</v>
      </c>
      <c r="E24">
        <f>'Default Network Metrics'!F26</f>
        <v>0</v>
      </c>
      <c r="F24">
        <f>'Default Network Metrics'!G26</f>
        <v>0</v>
      </c>
      <c r="G24">
        <f>'Default Network Metrics'!H26</f>
        <v>0</v>
      </c>
      <c r="H24">
        <f>'Default Network Metrics'!I26</f>
        <v>0</v>
      </c>
      <c r="I24" s="35">
        <f>'Default Network Metrics'!J26</f>
        <v>0</v>
      </c>
      <c r="J24" s="35">
        <f>'Default Network Metrics'!K26</f>
        <v>0</v>
      </c>
      <c r="K24" s="35">
        <f>'Default Network Metrics'!L26</f>
        <v>0</v>
      </c>
      <c r="L24" s="35">
        <f>'Default Network Metrics'!M26</f>
        <v>0</v>
      </c>
      <c r="M24">
        <f>'Default Network Metrics'!N26</f>
        <v>0</v>
      </c>
      <c r="N24">
        <f>'Default Network Metrics'!O26</f>
        <v>0</v>
      </c>
      <c r="O24" s="35">
        <f>'Default Network Metrics'!P26</f>
        <v>0</v>
      </c>
      <c r="P24">
        <f>'Default Network Metrics'!Q26</f>
        <v>0</v>
      </c>
      <c r="Q24">
        <f>'Default Network Metrics'!R26</f>
        <v>0</v>
      </c>
      <c r="R24">
        <f>'Default Network Metrics'!S26</f>
        <v>0</v>
      </c>
      <c r="S24">
        <f>'Default Network Metrics'!T26</f>
        <v>0</v>
      </c>
      <c r="T24">
        <f>'Default Network Metrics'!U26</f>
        <v>0</v>
      </c>
      <c r="U24">
        <f>'Default Network Metrics'!V26</f>
        <v>0</v>
      </c>
      <c r="V24">
        <f>'Default Network Metrics'!W26</f>
        <v>0</v>
      </c>
      <c r="W24">
        <f>'Default Network Metrics'!X26</f>
        <v>0</v>
      </c>
      <c r="X24">
        <f>'Default Network Metrics'!Y26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workbookViewId="0"/>
  </sheetViews>
  <sheetFormatPr defaultRowHeight="15"/>
  <cols>
    <col min="1" max="8" width="3.7109375" customWidth="1"/>
    <col min="9" max="12" width="3.7109375" style="35" customWidth="1"/>
    <col min="13" max="14" width="3.7109375" customWidth="1"/>
    <col min="15" max="15" width="3.7109375" style="35" customWidth="1"/>
    <col min="16" max="35" width="3.7109375" customWidth="1"/>
  </cols>
  <sheetData>
    <row r="1" spans="1:24">
      <c r="A1">
        <f>'Default Network Metrics'!B31</f>
        <v>0</v>
      </c>
      <c r="B1">
        <f>'Default Network Metrics'!C31</f>
        <v>100</v>
      </c>
      <c r="C1">
        <f>'Default Network Metrics'!D31</f>
        <v>0</v>
      </c>
      <c r="D1">
        <f>'Default Network Metrics'!E31</f>
        <v>0</v>
      </c>
      <c r="E1">
        <f>'Default Network Metrics'!F31</f>
        <v>0</v>
      </c>
      <c r="F1">
        <f>'Default Network Metrics'!G31</f>
        <v>0</v>
      </c>
      <c r="G1">
        <f>'Default Network Metrics'!H31</f>
        <v>0</v>
      </c>
      <c r="H1">
        <f>'Default Network Metrics'!I31</f>
        <v>0</v>
      </c>
      <c r="I1" s="35">
        <f>'Default Network Metrics'!J31</f>
        <v>0</v>
      </c>
      <c r="J1" s="35">
        <f>'Default Network Metrics'!K31</f>
        <v>0</v>
      </c>
      <c r="K1" s="35">
        <f>'Default Network Metrics'!L31</f>
        <v>0</v>
      </c>
      <c r="L1" s="35">
        <f>'Default Network Metrics'!M31</f>
        <v>0</v>
      </c>
      <c r="M1">
        <f>'Default Network Metrics'!N31</f>
        <v>0</v>
      </c>
      <c r="N1">
        <f>'Default Network Metrics'!O31</f>
        <v>0</v>
      </c>
      <c r="O1" s="35">
        <f>'Default Network Metrics'!P31</f>
        <v>0</v>
      </c>
      <c r="P1">
        <f>'Default Network Metrics'!Q31</f>
        <v>0</v>
      </c>
      <c r="Q1">
        <f>'Default Network Metrics'!R31</f>
        <v>100</v>
      </c>
      <c r="R1">
        <f>'Default Network Metrics'!S31</f>
        <v>0</v>
      </c>
      <c r="S1">
        <f>'Default Network Metrics'!T31</f>
        <v>0</v>
      </c>
      <c r="T1">
        <f>'Default Network Metrics'!U31</f>
        <v>0</v>
      </c>
      <c r="U1">
        <f>'Default Network Metrics'!V31</f>
        <v>0</v>
      </c>
      <c r="V1">
        <f>'Default Network Metrics'!W31</f>
        <v>0</v>
      </c>
      <c r="W1">
        <f>'Default Network Metrics'!X31</f>
        <v>0</v>
      </c>
      <c r="X1">
        <f>'Default Network Metrics'!Y31</f>
        <v>0</v>
      </c>
    </row>
    <row r="2" spans="1:24">
      <c r="A2">
        <f>'Default Network Metrics'!B32</f>
        <v>0</v>
      </c>
      <c r="B2">
        <f>'Default Network Metrics'!C32</f>
        <v>0</v>
      </c>
      <c r="C2">
        <f>'Default Network Metrics'!D32</f>
        <v>100</v>
      </c>
      <c r="D2">
        <f>'Default Network Metrics'!E32</f>
        <v>0</v>
      </c>
      <c r="E2">
        <f>'Default Network Metrics'!F32</f>
        <v>0</v>
      </c>
      <c r="F2">
        <f>'Default Network Metrics'!G32</f>
        <v>0</v>
      </c>
      <c r="G2">
        <f>'Default Network Metrics'!H32</f>
        <v>0</v>
      </c>
      <c r="H2">
        <f>'Default Network Metrics'!I32</f>
        <v>0</v>
      </c>
      <c r="I2" s="35">
        <f>'Default Network Metrics'!J32</f>
        <v>0</v>
      </c>
      <c r="J2" s="35">
        <f>'Default Network Metrics'!K32</f>
        <v>0</v>
      </c>
      <c r="K2" s="35">
        <f>'Default Network Metrics'!L32</f>
        <v>0</v>
      </c>
      <c r="L2" s="35">
        <f>'Default Network Metrics'!M32</f>
        <v>0</v>
      </c>
      <c r="M2">
        <f>'Default Network Metrics'!N32</f>
        <v>0</v>
      </c>
      <c r="N2">
        <f>'Default Network Metrics'!O32</f>
        <v>0</v>
      </c>
      <c r="O2" s="35">
        <f>'Default Network Metrics'!P32</f>
        <v>0</v>
      </c>
      <c r="P2">
        <f>'Default Network Metrics'!Q32</f>
        <v>0</v>
      </c>
      <c r="Q2">
        <f>'Default Network Metrics'!R32</f>
        <v>0</v>
      </c>
      <c r="R2">
        <f>'Default Network Metrics'!S32</f>
        <v>0</v>
      </c>
      <c r="S2">
        <f>'Default Network Metrics'!T32</f>
        <v>0</v>
      </c>
      <c r="T2">
        <f>'Default Network Metrics'!U32</f>
        <v>0</v>
      </c>
      <c r="U2">
        <f>'Default Network Metrics'!V32</f>
        <v>0</v>
      </c>
      <c r="V2">
        <f>'Default Network Metrics'!W32</f>
        <v>0</v>
      </c>
      <c r="W2">
        <f>'Default Network Metrics'!X32</f>
        <v>0</v>
      </c>
      <c r="X2">
        <f>'Default Network Metrics'!Y32</f>
        <v>0</v>
      </c>
    </row>
    <row r="3" spans="1:24">
      <c r="A3">
        <f>'Default Network Metrics'!B33</f>
        <v>0</v>
      </c>
      <c r="B3">
        <f>'Default Network Metrics'!C33</f>
        <v>0</v>
      </c>
      <c r="C3">
        <f>'Default Network Metrics'!D33</f>
        <v>0</v>
      </c>
      <c r="D3">
        <f>'Default Network Metrics'!E33</f>
        <v>100</v>
      </c>
      <c r="E3">
        <f>'Default Network Metrics'!F33</f>
        <v>0</v>
      </c>
      <c r="F3">
        <f>'Default Network Metrics'!G33</f>
        <v>0</v>
      </c>
      <c r="G3">
        <f>'Default Network Metrics'!H33</f>
        <v>0</v>
      </c>
      <c r="H3">
        <f>'Default Network Metrics'!I33</f>
        <v>0</v>
      </c>
      <c r="I3" s="35">
        <f>'Default Network Metrics'!J33</f>
        <v>0</v>
      </c>
      <c r="J3" s="35">
        <f>'Default Network Metrics'!K33</f>
        <v>0</v>
      </c>
      <c r="K3" s="35">
        <f>'Default Network Metrics'!L33</f>
        <v>0</v>
      </c>
      <c r="L3" s="35">
        <f>'Default Network Metrics'!M33</f>
        <v>0</v>
      </c>
      <c r="M3">
        <f>'Default Network Metrics'!N33</f>
        <v>0</v>
      </c>
      <c r="N3">
        <f>'Default Network Metrics'!O33</f>
        <v>0</v>
      </c>
      <c r="O3" s="35">
        <f>'Default Network Metrics'!P33</f>
        <v>0</v>
      </c>
      <c r="P3">
        <f>'Default Network Metrics'!Q33</f>
        <v>0</v>
      </c>
      <c r="Q3">
        <f>'Default Network Metrics'!R33</f>
        <v>0</v>
      </c>
      <c r="R3">
        <f>'Default Network Metrics'!S33</f>
        <v>0</v>
      </c>
      <c r="S3">
        <f>'Default Network Metrics'!T33</f>
        <v>0</v>
      </c>
      <c r="T3">
        <f>'Default Network Metrics'!U33</f>
        <v>0</v>
      </c>
      <c r="U3">
        <f>'Default Network Metrics'!V33</f>
        <v>0</v>
      </c>
      <c r="V3">
        <f>'Default Network Metrics'!W33</f>
        <v>0</v>
      </c>
      <c r="W3">
        <f>'Default Network Metrics'!X33</f>
        <v>0</v>
      </c>
      <c r="X3">
        <f>'Default Network Metrics'!Y33</f>
        <v>50</v>
      </c>
    </row>
    <row r="4" spans="1:24">
      <c r="A4">
        <f>'Default Network Metrics'!B34</f>
        <v>0</v>
      </c>
      <c r="B4">
        <f>'Default Network Metrics'!C34</f>
        <v>0</v>
      </c>
      <c r="C4">
        <f>'Default Network Metrics'!D34</f>
        <v>0</v>
      </c>
      <c r="D4">
        <f>'Default Network Metrics'!E34</f>
        <v>0</v>
      </c>
      <c r="E4">
        <f>'Default Network Metrics'!F34</f>
        <v>0</v>
      </c>
      <c r="F4">
        <f>'Default Network Metrics'!G34</f>
        <v>0</v>
      </c>
      <c r="G4">
        <f>'Default Network Metrics'!H34</f>
        <v>0</v>
      </c>
      <c r="H4">
        <f>'Default Network Metrics'!I34</f>
        <v>0</v>
      </c>
      <c r="I4" s="35">
        <f>'Default Network Metrics'!J34</f>
        <v>0</v>
      </c>
      <c r="J4" s="35">
        <f>'Default Network Metrics'!K34</f>
        <v>0</v>
      </c>
      <c r="K4" s="35">
        <f>'Default Network Metrics'!L34</f>
        <v>0</v>
      </c>
      <c r="L4" s="35">
        <f>'Default Network Metrics'!M34</f>
        <v>0</v>
      </c>
      <c r="M4">
        <f>'Default Network Metrics'!N34</f>
        <v>0</v>
      </c>
      <c r="N4">
        <f>'Default Network Metrics'!O34</f>
        <v>0</v>
      </c>
      <c r="O4" s="35">
        <f>'Default Network Metrics'!P34</f>
        <v>0</v>
      </c>
      <c r="P4">
        <f>MIN('Event Register'!H64,'Event Register'!H45)</f>
        <v>100</v>
      </c>
      <c r="Q4">
        <f>'Default Network Metrics'!R34</f>
        <v>0</v>
      </c>
      <c r="R4">
        <f>'Default Network Metrics'!S34</f>
        <v>0</v>
      </c>
      <c r="S4">
        <f>'Default Network Metrics'!T34</f>
        <v>0</v>
      </c>
      <c r="T4">
        <f>'Default Network Metrics'!U34</f>
        <v>0</v>
      </c>
      <c r="U4">
        <f>'Default Network Metrics'!V34</f>
        <v>0</v>
      </c>
      <c r="V4">
        <f>'Default Network Metrics'!W34</f>
        <v>0</v>
      </c>
      <c r="W4">
        <f>'Default Network Metrics'!X34</f>
        <v>0</v>
      </c>
      <c r="X4">
        <f>MAX('Event Register'!H48)</f>
        <v>0</v>
      </c>
    </row>
    <row r="5" spans="1:24">
      <c r="A5">
        <f>'Default Network Metrics'!B35</f>
        <v>0</v>
      </c>
      <c r="B5">
        <f>'Default Network Metrics'!C35</f>
        <v>0</v>
      </c>
      <c r="C5">
        <f>'Default Network Metrics'!D35</f>
        <v>0</v>
      </c>
      <c r="D5">
        <f>'Default Network Metrics'!E35</f>
        <v>0</v>
      </c>
      <c r="E5">
        <f>'Default Network Metrics'!F35</f>
        <v>0</v>
      </c>
      <c r="F5">
        <f>'Default Network Metrics'!G35</f>
        <v>100</v>
      </c>
      <c r="G5">
        <f>'Default Network Metrics'!H35</f>
        <v>0</v>
      </c>
      <c r="H5">
        <f>'Default Network Metrics'!I35</f>
        <v>0</v>
      </c>
      <c r="I5" s="35">
        <f>'Default Network Metrics'!J35</f>
        <v>0</v>
      </c>
      <c r="J5" s="35">
        <f>'Default Network Metrics'!K35</f>
        <v>0</v>
      </c>
      <c r="K5" s="35">
        <f>'Default Network Metrics'!L35</f>
        <v>0</v>
      </c>
      <c r="L5" s="35">
        <f>'Default Network Metrics'!M35</f>
        <v>0</v>
      </c>
      <c r="M5">
        <f>'Default Network Metrics'!N35</f>
        <v>0</v>
      </c>
      <c r="N5">
        <f>'Default Network Metrics'!O35</f>
        <v>0</v>
      </c>
      <c r="O5" s="35">
        <f>'Default Network Metrics'!P35</f>
        <v>0</v>
      </c>
      <c r="P5">
        <f>'Default Network Metrics'!Q35</f>
        <v>0</v>
      </c>
      <c r="Q5">
        <f>'Default Network Metrics'!R35</f>
        <v>100</v>
      </c>
      <c r="R5">
        <f>'Default Network Metrics'!S35</f>
        <v>0</v>
      </c>
      <c r="S5">
        <f>'Default Network Metrics'!T35</f>
        <v>0</v>
      </c>
      <c r="T5">
        <f>'Default Network Metrics'!U35</f>
        <v>0</v>
      </c>
      <c r="U5">
        <f>'Default Network Metrics'!V35</f>
        <v>0</v>
      </c>
      <c r="V5">
        <f>'Default Network Metrics'!W35</f>
        <v>0</v>
      </c>
      <c r="W5">
        <f>'Default Network Metrics'!X35</f>
        <v>0</v>
      </c>
      <c r="X5">
        <f>'Default Network Metrics'!Y35</f>
        <v>0</v>
      </c>
    </row>
    <row r="6" spans="1:24">
      <c r="A6">
        <f>'Default Network Metrics'!B36</f>
        <v>0</v>
      </c>
      <c r="B6">
        <f>'Default Network Metrics'!C36</f>
        <v>0</v>
      </c>
      <c r="C6">
        <f>'Default Network Metrics'!D36</f>
        <v>0</v>
      </c>
      <c r="D6">
        <f>'Default Network Metrics'!E36</f>
        <v>0</v>
      </c>
      <c r="E6">
        <f>'Default Network Metrics'!F36</f>
        <v>0</v>
      </c>
      <c r="F6">
        <f>'Default Network Metrics'!G36</f>
        <v>0</v>
      </c>
      <c r="G6">
        <f>'Default Network Metrics'!H36</f>
        <v>100</v>
      </c>
      <c r="H6">
        <f>'Default Network Metrics'!I36</f>
        <v>0</v>
      </c>
      <c r="I6" s="35">
        <f>'Default Network Metrics'!J36</f>
        <v>0</v>
      </c>
      <c r="J6" s="35">
        <f>'Default Network Metrics'!K36</f>
        <v>0</v>
      </c>
      <c r="K6" s="35">
        <f>'Default Network Metrics'!L36</f>
        <v>0</v>
      </c>
      <c r="L6" s="35">
        <f>'Default Network Metrics'!M36</f>
        <v>0</v>
      </c>
      <c r="M6">
        <f>'Default Network Metrics'!N36</f>
        <v>0</v>
      </c>
      <c r="N6">
        <f>'Default Network Metrics'!O36</f>
        <v>0</v>
      </c>
      <c r="O6" s="35">
        <f>'Default Network Metrics'!P36</f>
        <v>0</v>
      </c>
      <c r="P6">
        <f>'Default Network Metrics'!Q36</f>
        <v>0</v>
      </c>
      <c r="Q6">
        <f>'Default Network Metrics'!R36</f>
        <v>0</v>
      </c>
      <c r="R6">
        <f>'Default Network Metrics'!S36</f>
        <v>0</v>
      </c>
      <c r="S6">
        <f>'Default Network Metrics'!T36</f>
        <v>0</v>
      </c>
      <c r="T6">
        <f>'Default Network Metrics'!U36</f>
        <v>0</v>
      </c>
      <c r="U6">
        <f>'Default Network Metrics'!V36</f>
        <v>0</v>
      </c>
      <c r="V6">
        <f>'Default Network Metrics'!W36</f>
        <v>0</v>
      </c>
      <c r="W6">
        <f>'Default Network Metrics'!X36</f>
        <v>0</v>
      </c>
      <c r="X6">
        <f>'Default Network Metrics'!Y36</f>
        <v>0</v>
      </c>
    </row>
    <row r="7" spans="1:24">
      <c r="A7">
        <f>'Default Network Metrics'!B37</f>
        <v>0</v>
      </c>
      <c r="B7">
        <f>'Default Network Metrics'!C37</f>
        <v>0</v>
      </c>
      <c r="C7">
        <f>'Default Network Metrics'!D37</f>
        <v>0</v>
      </c>
      <c r="D7">
        <f>'Default Network Metrics'!E37</f>
        <v>0</v>
      </c>
      <c r="E7">
        <f>'Default Network Metrics'!F37</f>
        <v>0</v>
      </c>
      <c r="F7">
        <f>'Default Network Metrics'!G37</f>
        <v>0</v>
      </c>
      <c r="G7">
        <f>'Default Network Metrics'!H37</f>
        <v>0</v>
      </c>
      <c r="H7">
        <f>'Default Network Metrics'!I37</f>
        <v>100</v>
      </c>
      <c r="I7" s="35">
        <f>'Default Network Metrics'!J37</f>
        <v>0</v>
      </c>
      <c r="J7" s="35">
        <f>'Default Network Metrics'!K37</f>
        <v>0</v>
      </c>
      <c r="K7" s="35">
        <f>'Default Network Metrics'!L37</f>
        <v>0</v>
      </c>
      <c r="L7" s="35">
        <f>'Default Network Metrics'!M37</f>
        <v>0</v>
      </c>
      <c r="M7">
        <f>'Default Network Metrics'!N37</f>
        <v>0</v>
      </c>
      <c r="N7">
        <f>'Default Network Metrics'!O37</f>
        <v>0</v>
      </c>
      <c r="O7" s="35">
        <f>'Default Network Metrics'!P37</f>
        <v>0</v>
      </c>
      <c r="P7">
        <f>'Default Network Metrics'!Q37</f>
        <v>0</v>
      </c>
      <c r="Q7">
        <f>'Default Network Metrics'!R37</f>
        <v>0</v>
      </c>
      <c r="R7">
        <f>'Default Network Metrics'!S37</f>
        <v>0</v>
      </c>
      <c r="S7">
        <f>'Default Network Metrics'!T37</f>
        <v>0</v>
      </c>
      <c r="T7">
        <f>'Default Network Metrics'!U37</f>
        <v>0</v>
      </c>
      <c r="U7">
        <f>'Default Network Metrics'!V37</f>
        <v>0</v>
      </c>
      <c r="V7">
        <f>'Default Network Metrics'!W37</f>
        <v>0</v>
      </c>
      <c r="W7">
        <f>'Default Network Metrics'!X37</f>
        <v>0</v>
      </c>
      <c r="X7">
        <f>'Default Network Metrics'!Y37</f>
        <v>50</v>
      </c>
    </row>
    <row r="8" spans="1:24">
      <c r="A8">
        <f>'Default Network Metrics'!B38</f>
        <v>0</v>
      </c>
      <c r="B8">
        <f>'Default Network Metrics'!C38</f>
        <v>0</v>
      </c>
      <c r="C8">
        <f>'Default Network Metrics'!D38</f>
        <v>0</v>
      </c>
      <c r="D8">
        <f>'Default Network Metrics'!E38</f>
        <v>0</v>
      </c>
      <c r="E8">
        <f>'Default Network Metrics'!F38</f>
        <v>0</v>
      </c>
      <c r="F8">
        <f>'Default Network Metrics'!G38</f>
        <v>0</v>
      </c>
      <c r="G8">
        <f>'Default Network Metrics'!H38</f>
        <v>0</v>
      </c>
      <c r="H8">
        <f>'Default Network Metrics'!I38</f>
        <v>0</v>
      </c>
      <c r="I8" s="35">
        <f>'Default Network Metrics'!J38</f>
        <v>0</v>
      </c>
      <c r="J8" s="35">
        <f>'Default Network Metrics'!K38</f>
        <v>0</v>
      </c>
      <c r="K8" s="35">
        <f>'Default Network Metrics'!L38</f>
        <v>0</v>
      </c>
      <c r="L8" s="35">
        <f>'Default Network Metrics'!M38</f>
        <v>0</v>
      </c>
      <c r="M8">
        <f>'Default Network Metrics'!N38</f>
        <v>0</v>
      </c>
      <c r="N8">
        <f>'Default Network Metrics'!O38</f>
        <v>0</v>
      </c>
      <c r="O8" s="35">
        <f>'Default Network Metrics'!P38</f>
        <v>0</v>
      </c>
      <c r="P8">
        <f>'Default Network Metrics'!Q38</f>
        <v>0</v>
      </c>
      <c r="Q8">
        <f>'Default Network Metrics'!R38</f>
        <v>0</v>
      </c>
      <c r="R8">
        <f>'Default Network Metrics'!S38</f>
        <v>0</v>
      </c>
      <c r="S8">
        <f>'Default Network Metrics'!T38</f>
        <v>0</v>
      </c>
      <c r="T8">
        <f>'Default Network Metrics'!U38</f>
        <v>0</v>
      </c>
      <c r="U8">
        <f>'Default Network Metrics'!V38</f>
        <v>0</v>
      </c>
      <c r="V8">
        <f>'Default Network Metrics'!W38</f>
        <v>0</v>
      </c>
      <c r="W8">
        <f>'Default Network Metrics'!X38</f>
        <v>0</v>
      </c>
      <c r="X8">
        <f>'Default Network Metrics'!Y38</f>
        <v>100</v>
      </c>
    </row>
    <row r="9" spans="1:24" s="35" customFormat="1">
      <c r="A9" s="35">
        <f>'Default Network Metrics'!B39</f>
        <v>0</v>
      </c>
      <c r="B9" s="35">
        <f>'Default Network Metrics'!C39</f>
        <v>0</v>
      </c>
      <c r="C9" s="35">
        <f>'Default Network Metrics'!D39</f>
        <v>0</v>
      </c>
      <c r="D9" s="35">
        <f>'Default Network Metrics'!E39</f>
        <v>0</v>
      </c>
      <c r="E9" s="35">
        <f>'Default Network Metrics'!F39</f>
        <v>0</v>
      </c>
      <c r="F9" s="35">
        <f>'Default Network Metrics'!G39</f>
        <v>0</v>
      </c>
      <c r="G9" s="35">
        <f>'Default Network Metrics'!H39</f>
        <v>0</v>
      </c>
      <c r="H9" s="35">
        <f>'Default Network Metrics'!I39</f>
        <v>0</v>
      </c>
      <c r="I9" s="36">
        <f>'Default Network Metrics'!J39</f>
        <v>0</v>
      </c>
      <c r="J9" s="35">
        <f>'Event Register'!H11</f>
        <v>100</v>
      </c>
      <c r="K9" s="35">
        <f>'Default Network Metrics'!L39</f>
        <v>0</v>
      </c>
      <c r="L9" s="35">
        <f>'Default Network Metrics'!M39</f>
        <v>0</v>
      </c>
      <c r="M9" s="35">
        <f>'Default Network Metrics'!N39</f>
        <v>0</v>
      </c>
      <c r="N9" s="35">
        <f>'Default Network Metrics'!O39</f>
        <v>0</v>
      </c>
      <c r="O9" s="35">
        <f>'Default Network Metrics'!P39</f>
        <v>0</v>
      </c>
      <c r="P9" s="35">
        <f>'Default Network Metrics'!Q39</f>
        <v>0</v>
      </c>
      <c r="Q9" s="35">
        <f>'Event Register'!H20</f>
        <v>100</v>
      </c>
      <c r="R9" s="35">
        <f>'Default Network Metrics'!S39</f>
        <v>0</v>
      </c>
      <c r="S9" s="35">
        <f>'Default Network Metrics'!T39</f>
        <v>0</v>
      </c>
      <c r="T9" s="35">
        <f>'Default Network Metrics'!U39</f>
        <v>0</v>
      </c>
      <c r="U9" s="35">
        <f>'Default Network Metrics'!V39</f>
        <v>0</v>
      </c>
      <c r="V9" s="35">
        <f>'Default Network Metrics'!W39</f>
        <v>0</v>
      </c>
      <c r="W9" s="35">
        <f>'Default Network Metrics'!X39</f>
        <v>0</v>
      </c>
      <c r="X9" s="35">
        <f>'Default Network Metrics'!Y39</f>
        <v>0</v>
      </c>
    </row>
    <row r="10" spans="1:24" s="35" customFormat="1">
      <c r="A10" s="35">
        <f>'Default Network Metrics'!B40</f>
        <v>0</v>
      </c>
      <c r="B10" s="35">
        <f>'Default Network Metrics'!C40</f>
        <v>0</v>
      </c>
      <c r="C10" s="35">
        <f>'Default Network Metrics'!D40</f>
        <v>0</v>
      </c>
      <c r="D10" s="35">
        <f>'Default Network Metrics'!E40</f>
        <v>0</v>
      </c>
      <c r="E10" s="35">
        <f>'Default Network Metrics'!F40</f>
        <v>0</v>
      </c>
      <c r="F10" s="35">
        <f>'Default Network Metrics'!G40</f>
        <v>0</v>
      </c>
      <c r="G10" s="35">
        <f>'Default Network Metrics'!H40</f>
        <v>0</v>
      </c>
      <c r="H10" s="35">
        <f>'Default Network Metrics'!I40</f>
        <v>0</v>
      </c>
      <c r="I10" s="35">
        <f>'Default Network Metrics'!J40</f>
        <v>0</v>
      </c>
      <c r="J10" s="36">
        <f>'Default Network Metrics'!K40</f>
        <v>0</v>
      </c>
      <c r="K10" s="35">
        <f>'Event Register'!H14</f>
        <v>100</v>
      </c>
      <c r="L10" s="35">
        <f>'Default Network Metrics'!M40</f>
        <v>0</v>
      </c>
      <c r="M10" s="35">
        <f>'Default Network Metrics'!N40</f>
        <v>0</v>
      </c>
      <c r="N10" s="35">
        <f>'Default Network Metrics'!O40</f>
        <v>0</v>
      </c>
      <c r="O10" s="35">
        <f>'Default Network Metrics'!P40</f>
        <v>0</v>
      </c>
      <c r="P10" s="35">
        <f>'Default Network Metrics'!Q40</f>
        <v>0</v>
      </c>
      <c r="Q10" s="35">
        <f>'Default Network Metrics'!R40</f>
        <v>0</v>
      </c>
      <c r="R10" s="35">
        <f>'Default Network Metrics'!S40</f>
        <v>0</v>
      </c>
      <c r="S10" s="35">
        <f>'Default Network Metrics'!T40</f>
        <v>0</v>
      </c>
      <c r="T10" s="35">
        <f>'Default Network Metrics'!U40</f>
        <v>0</v>
      </c>
      <c r="U10" s="35">
        <f>'Default Network Metrics'!V40</f>
        <v>0</v>
      </c>
      <c r="V10" s="35">
        <f>'Default Network Metrics'!W40</f>
        <v>0</v>
      </c>
      <c r="W10" s="35">
        <f>'Default Network Metrics'!X40</f>
        <v>0</v>
      </c>
      <c r="X10" s="35">
        <f>'Default Network Metrics'!Y40</f>
        <v>0</v>
      </c>
    </row>
    <row r="11" spans="1:24" s="35" customFormat="1">
      <c r="A11" s="35">
        <f>'Default Network Metrics'!B41</f>
        <v>0</v>
      </c>
      <c r="B11" s="35">
        <f>'Default Network Metrics'!C41</f>
        <v>0</v>
      </c>
      <c r="C11" s="35">
        <f>'Default Network Metrics'!D41</f>
        <v>0</v>
      </c>
      <c r="D11" s="35">
        <f>'Default Network Metrics'!E41</f>
        <v>0</v>
      </c>
      <c r="E11" s="35">
        <f>'Default Network Metrics'!F41</f>
        <v>0</v>
      </c>
      <c r="F11" s="35">
        <f>'Default Network Metrics'!G41</f>
        <v>0</v>
      </c>
      <c r="G11" s="35">
        <f>'Default Network Metrics'!H41</f>
        <v>0</v>
      </c>
      <c r="H11" s="35">
        <f>'Default Network Metrics'!I41</f>
        <v>0</v>
      </c>
      <c r="I11" s="35">
        <f>'Default Network Metrics'!J41</f>
        <v>0</v>
      </c>
      <c r="J11" s="35">
        <f>'Default Network Metrics'!K41</f>
        <v>0</v>
      </c>
      <c r="K11" s="36">
        <f>'Default Network Metrics'!L41</f>
        <v>0</v>
      </c>
      <c r="L11" s="35">
        <f>'Event Register'!H17</f>
        <v>100</v>
      </c>
      <c r="M11" s="35">
        <f>'Default Network Metrics'!N41</f>
        <v>0</v>
      </c>
      <c r="N11" s="35">
        <f>'Default Network Metrics'!O41</f>
        <v>0</v>
      </c>
      <c r="O11" s="35">
        <f>'Default Network Metrics'!P41</f>
        <v>0</v>
      </c>
      <c r="P11" s="35">
        <f>'Default Network Metrics'!Q41</f>
        <v>0</v>
      </c>
      <c r="Q11" s="35">
        <f>'Default Network Metrics'!R41</f>
        <v>0</v>
      </c>
      <c r="R11" s="35">
        <f>'Default Network Metrics'!S41</f>
        <v>0</v>
      </c>
      <c r="S11" s="35">
        <f>'Default Network Metrics'!T41</f>
        <v>0</v>
      </c>
      <c r="T11" s="35">
        <f>'Default Network Metrics'!U41</f>
        <v>0</v>
      </c>
      <c r="U11" s="35">
        <f>'Default Network Metrics'!V41</f>
        <v>0</v>
      </c>
      <c r="V11" s="35">
        <f>'Default Network Metrics'!W41</f>
        <v>0</v>
      </c>
      <c r="W11" s="35">
        <f>'Default Network Metrics'!X41</f>
        <v>0</v>
      </c>
      <c r="X11" s="35">
        <f>'Event Register'!H23</f>
        <v>50</v>
      </c>
    </row>
    <row r="12" spans="1:24" s="35" customFormat="1">
      <c r="A12" s="35">
        <f>'Default Network Metrics'!B42</f>
        <v>0</v>
      </c>
      <c r="B12" s="35">
        <f>'Default Network Metrics'!C42</f>
        <v>0</v>
      </c>
      <c r="C12" s="35">
        <f>'Default Network Metrics'!D42</f>
        <v>0</v>
      </c>
      <c r="D12" s="35">
        <f>'Default Network Metrics'!E42</f>
        <v>0</v>
      </c>
      <c r="E12" s="35">
        <f>'Default Network Metrics'!F42</f>
        <v>0</v>
      </c>
      <c r="F12" s="35">
        <f>'Default Network Metrics'!G42</f>
        <v>0</v>
      </c>
      <c r="G12" s="35">
        <f>'Default Network Metrics'!H42</f>
        <v>0</v>
      </c>
      <c r="H12" s="35">
        <f>'Default Network Metrics'!I42</f>
        <v>0</v>
      </c>
      <c r="I12" s="35">
        <f>'Default Network Metrics'!J42</f>
        <v>0</v>
      </c>
      <c r="J12" s="35">
        <f>'Default Network Metrics'!K42</f>
        <v>0</v>
      </c>
      <c r="K12" s="35">
        <f>'Default Network Metrics'!L42</f>
        <v>0</v>
      </c>
      <c r="L12" s="36">
        <f>'Default Network Metrics'!M42</f>
        <v>0</v>
      </c>
      <c r="M12" s="35">
        <f>'Default Network Metrics'!N42</f>
        <v>0</v>
      </c>
      <c r="N12" s="35">
        <f>'Default Network Metrics'!O42</f>
        <v>0</v>
      </c>
      <c r="O12" s="35">
        <f>'Default Network Metrics'!P42</f>
        <v>0</v>
      </c>
      <c r="P12" s="35">
        <f>'Default Network Metrics'!Q42</f>
        <v>0</v>
      </c>
      <c r="Q12" s="35">
        <f>'Default Network Metrics'!R42</f>
        <v>0</v>
      </c>
      <c r="R12" s="35">
        <f>'Default Network Metrics'!S42</f>
        <v>0</v>
      </c>
      <c r="S12" s="35">
        <f>'Default Network Metrics'!T42</f>
        <v>0</v>
      </c>
      <c r="T12" s="35">
        <f>'Default Network Metrics'!U42</f>
        <v>0</v>
      </c>
      <c r="U12" s="35">
        <f>'Default Network Metrics'!V42</f>
        <v>0</v>
      </c>
      <c r="V12" s="35">
        <f>'Default Network Metrics'!W42</f>
        <v>0</v>
      </c>
      <c r="W12" s="35">
        <f>'Default Network Metrics'!X42</f>
        <v>0</v>
      </c>
      <c r="X12" s="35">
        <f>'Event Register'!H26</f>
        <v>100</v>
      </c>
    </row>
    <row r="13" spans="1:24">
      <c r="A13">
        <f>'Default Network Metrics'!B43</f>
        <v>0</v>
      </c>
      <c r="B13">
        <f>'Default Network Metrics'!C43</f>
        <v>0</v>
      </c>
      <c r="C13">
        <f>'Default Network Metrics'!D43</f>
        <v>0</v>
      </c>
      <c r="D13">
        <f>'Default Network Metrics'!E43</f>
        <v>0</v>
      </c>
      <c r="E13">
        <f>'Default Network Metrics'!F43</f>
        <v>0</v>
      </c>
      <c r="F13">
        <f>'Default Network Metrics'!G43</f>
        <v>0</v>
      </c>
      <c r="G13">
        <f>'Default Network Metrics'!H43</f>
        <v>0</v>
      </c>
      <c r="H13">
        <f>'Default Network Metrics'!I43</f>
        <v>0</v>
      </c>
      <c r="I13" s="35">
        <f>'Default Network Metrics'!J43</f>
        <v>0</v>
      </c>
      <c r="J13" s="35">
        <f>'Default Network Metrics'!K43</f>
        <v>0</v>
      </c>
      <c r="K13" s="35">
        <f>'Default Network Metrics'!L43</f>
        <v>0</v>
      </c>
      <c r="L13" s="35">
        <f>'Default Network Metrics'!M43</f>
        <v>0</v>
      </c>
      <c r="M13">
        <f>'Default Network Metrics'!N43</f>
        <v>0</v>
      </c>
      <c r="N13">
        <f>'Default Network Metrics'!O43</f>
        <v>100</v>
      </c>
      <c r="O13" s="35">
        <f>'Default Network Metrics'!P43</f>
        <v>0</v>
      </c>
      <c r="P13">
        <f>'Default Network Metrics'!Q43</f>
        <v>0</v>
      </c>
      <c r="Q13">
        <f>'Default Network Metrics'!R43</f>
        <v>0</v>
      </c>
      <c r="R13">
        <f>'Default Network Metrics'!S43</f>
        <v>0</v>
      </c>
      <c r="S13">
        <f>'Default Network Metrics'!T43</f>
        <v>0</v>
      </c>
      <c r="T13">
        <f>'Default Network Metrics'!U43</f>
        <v>0</v>
      </c>
      <c r="U13">
        <f>'Default Network Metrics'!V43</f>
        <v>0</v>
      </c>
      <c r="V13">
        <f>'Default Network Metrics'!W43</f>
        <v>0</v>
      </c>
      <c r="W13">
        <f>'Default Network Metrics'!X43</f>
        <v>0</v>
      </c>
      <c r="X13">
        <f>'Default Network Metrics'!Y43</f>
        <v>0</v>
      </c>
    </row>
    <row r="14" spans="1:24">
      <c r="A14">
        <f>'Default Network Metrics'!B44</f>
        <v>0</v>
      </c>
      <c r="B14">
        <f>'Default Network Metrics'!C44</f>
        <v>0</v>
      </c>
      <c r="C14">
        <f>'Default Network Metrics'!D44</f>
        <v>50</v>
      </c>
      <c r="D14">
        <f>'Default Network Metrics'!E44</f>
        <v>0</v>
      </c>
      <c r="E14">
        <f>'Default Network Metrics'!F44</f>
        <v>0</v>
      </c>
      <c r="F14">
        <f>'Default Network Metrics'!G44</f>
        <v>0</v>
      </c>
      <c r="G14">
        <f>'Default Network Metrics'!H44</f>
        <v>0</v>
      </c>
      <c r="H14">
        <f>'Default Network Metrics'!I44</f>
        <v>0</v>
      </c>
      <c r="I14" s="35">
        <f>'Default Network Metrics'!J44</f>
        <v>0</v>
      </c>
      <c r="J14" s="35">
        <f>'Default Network Metrics'!K44</f>
        <v>0</v>
      </c>
      <c r="K14" s="35">
        <f>'Default Network Metrics'!L44</f>
        <v>0</v>
      </c>
      <c r="L14" s="35">
        <f>'Default Network Metrics'!M44</f>
        <v>0</v>
      </c>
      <c r="M14">
        <f>'Default Network Metrics'!N44</f>
        <v>0</v>
      </c>
      <c r="N14">
        <f>'Default Network Metrics'!O44</f>
        <v>0</v>
      </c>
      <c r="O14" s="35">
        <f>MAX('Event Register'!H39,'Event Register'!H52)</f>
        <v>0</v>
      </c>
      <c r="P14">
        <f>'Default Network Metrics'!Q44</f>
        <v>0</v>
      </c>
      <c r="Q14">
        <f>'Default Network Metrics'!R44</f>
        <v>0</v>
      </c>
      <c r="R14">
        <f>'Default Network Metrics'!S44</f>
        <v>0</v>
      </c>
      <c r="S14">
        <f>'Default Network Metrics'!T44</f>
        <v>0</v>
      </c>
      <c r="T14">
        <f>'Default Network Metrics'!U44</f>
        <v>0</v>
      </c>
      <c r="U14">
        <f>'Default Network Metrics'!V44</f>
        <v>0</v>
      </c>
      <c r="V14">
        <f>'Default Network Metrics'!W44</f>
        <v>0</v>
      </c>
      <c r="W14">
        <f>'Default Network Metrics'!X44</f>
        <v>0</v>
      </c>
      <c r="X14">
        <f>'Default Network Metrics'!Y44</f>
        <v>0</v>
      </c>
    </row>
    <row r="15" spans="1:24" s="35" customFormat="1">
      <c r="A15" s="35">
        <f>'Default Network Metrics'!B45</f>
        <v>0</v>
      </c>
      <c r="B15" s="35">
        <f>'Default Network Metrics'!C45</f>
        <v>0</v>
      </c>
      <c r="C15" s="35">
        <f>'Default Network Metrics'!D45</f>
        <v>0</v>
      </c>
      <c r="D15" s="35">
        <f>'Default Network Metrics'!E45</f>
        <v>0</v>
      </c>
      <c r="E15" s="35">
        <f>'Default Network Metrics'!F45</f>
        <v>0</v>
      </c>
      <c r="F15" s="35">
        <f>'Default Network Metrics'!G45</f>
        <v>0</v>
      </c>
      <c r="G15" s="35">
        <f>'Default Network Metrics'!H45</f>
        <v>0</v>
      </c>
      <c r="H15" s="35">
        <f>'Default Network Metrics'!I45</f>
        <v>0</v>
      </c>
      <c r="I15" s="35">
        <f>'Default Network Metrics'!J45</f>
        <v>0</v>
      </c>
      <c r="J15" s="35">
        <f>'Default Network Metrics'!K45</f>
        <v>0</v>
      </c>
      <c r="K15" s="35">
        <f>'Default Network Metrics'!L45</f>
        <v>0</v>
      </c>
      <c r="L15" s="35">
        <f>'Default Network Metrics'!M45</f>
        <v>0</v>
      </c>
      <c r="M15" s="35">
        <f>'Default Network Metrics'!N45</f>
        <v>0</v>
      </c>
      <c r="N15" s="35">
        <f>'Default Network Metrics'!O45</f>
        <v>0</v>
      </c>
      <c r="O15" s="36">
        <f>'Default Network Metrics'!P45</f>
        <v>0</v>
      </c>
      <c r="P15" s="35">
        <f>MAX('Event Register'!H42,'Event Register'!H55)</f>
        <v>0</v>
      </c>
      <c r="Q15" s="35">
        <f>'Default Network Metrics'!R45</f>
        <v>0</v>
      </c>
      <c r="R15" s="35">
        <f>'Default Network Metrics'!S45</f>
        <v>0</v>
      </c>
      <c r="S15" s="35">
        <f>'Default Network Metrics'!T45</f>
        <v>0</v>
      </c>
      <c r="T15" s="35">
        <f>'Default Network Metrics'!U45</f>
        <v>0</v>
      </c>
      <c r="U15" s="35">
        <f>'Default Network Metrics'!V45</f>
        <v>0</v>
      </c>
      <c r="V15" s="35">
        <f>'Default Network Metrics'!W45</f>
        <v>0</v>
      </c>
      <c r="W15" s="35">
        <f>'Default Network Metrics'!X45</f>
        <v>0</v>
      </c>
      <c r="X15" s="35">
        <f>'Default Network Metrics'!Y45</f>
        <v>0</v>
      </c>
    </row>
    <row r="16" spans="1:24">
      <c r="A16">
        <f>'Default Network Metrics'!B46</f>
        <v>90</v>
      </c>
      <c r="B16">
        <f>'Default Network Metrics'!C46</f>
        <v>0</v>
      </c>
      <c r="C16">
        <f>'Default Network Metrics'!D46</f>
        <v>0</v>
      </c>
      <c r="D16">
        <f>'Default Network Metrics'!E46</f>
        <v>0</v>
      </c>
      <c r="E16">
        <f>'Default Network Metrics'!F46</f>
        <v>90</v>
      </c>
      <c r="F16">
        <f>'Default Network Metrics'!G46</f>
        <v>0</v>
      </c>
      <c r="G16">
        <f>'Default Network Metrics'!H46</f>
        <v>0</v>
      </c>
      <c r="H16">
        <f>'Default Network Metrics'!I46</f>
        <v>0</v>
      </c>
      <c r="I16" s="35">
        <f>'Event Register'!H29</f>
        <v>90</v>
      </c>
      <c r="J16" s="35">
        <f>'Default Network Metrics'!K46</f>
        <v>0</v>
      </c>
      <c r="K16" s="35">
        <f>'Default Network Metrics'!L46</f>
        <v>0</v>
      </c>
      <c r="L16" s="35">
        <f>'Default Network Metrics'!M46</f>
        <v>0</v>
      </c>
      <c r="M16">
        <f>'Default Network Metrics'!N46</f>
        <v>100</v>
      </c>
      <c r="N16">
        <f>'Default Network Metrics'!O46</f>
        <v>0</v>
      </c>
      <c r="O16" s="35">
        <f>'Default Network Metrics'!P46</f>
        <v>0</v>
      </c>
      <c r="P16">
        <f>'Default Network Metrics'!Q46</f>
        <v>0</v>
      </c>
      <c r="Q16">
        <f>'Default Network Metrics'!R46</f>
        <v>0</v>
      </c>
      <c r="R16">
        <f>'Default Network Metrics'!S46</f>
        <v>0</v>
      </c>
      <c r="S16">
        <f>'Default Network Metrics'!T46</f>
        <v>0</v>
      </c>
      <c r="T16">
        <f>'Default Network Metrics'!U46</f>
        <v>0</v>
      </c>
      <c r="U16">
        <f>'Default Network Metrics'!V46</f>
        <v>0</v>
      </c>
      <c r="V16">
        <f>'Default Network Metrics'!W46</f>
        <v>0</v>
      </c>
      <c r="W16">
        <f>'Default Network Metrics'!X46</f>
        <v>0</v>
      </c>
      <c r="X16">
        <f>'Default Network Metrics'!Y46</f>
        <v>100</v>
      </c>
    </row>
    <row r="17" spans="1:24">
      <c r="A17">
        <f>'Default Network Metrics'!B47</f>
        <v>0</v>
      </c>
      <c r="B17">
        <f>'Default Network Metrics'!C47</f>
        <v>0</v>
      </c>
      <c r="C17">
        <f>'Default Network Metrics'!D47</f>
        <v>0</v>
      </c>
      <c r="D17">
        <f>'Default Network Metrics'!E47</f>
        <v>0</v>
      </c>
      <c r="E17">
        <f>'Default Network Metrics'!F47</f>
        <v>0</v>
      </c>
      <c r="F17">
        <f>'Default Network Metrics'!G47</f>
        <v>0</v>
      </c>
      <c r="G17">
        <f>'Default Network Metrics'!H47</f>
        <v>0</v>
      </c>
      <c r="H17">
        <f>'Default Network Metrics'!I47</f>
        <v>0</v>
      </c>
      <c r="I17" s="35">
        <f>'Default Network Metrics'!J47</f>
        <v>0</v>
      </c>
      <c r="J17" s="35">
        <f>'Default Network Metrics'!K47</f>
        <v>0</v>
      </c>
      <c r="K17" s="35">
        <f>'Default Network Metrics'!L47</f>
        <v>0</v>
      </c>
      <c r="L17" s="35">
        <f>'Default Network Metrics'!M47</f>
        <v>0</v>
      </c>
      <c r="M17">
        <f>'Default Network Metrics'!N47</f>
        <v>0</v>
      </c>
      <c r="N17">
        <f>'Default Network Metrics'!O47</f>
        <v>0</v>
      </c>
      <c r="O17" s="35">
        <f>'Default Network Metrics'!P47</f>
        <v>0</v>
      </c>
      <c r="P17">
        <f>'Default Network Metrics'!Q47</f>
        <v>0</v>
      </c>
      <c r="Q17">
        <f>'Default Network Metrics'!R47</f>
        <v>0</v>
      </c>
      <c r="R17">
        <f>'Default Network Metrics'!S47</f>
        <v>100</v>
      </c>
      <c r="S17">
        <f>'Default Network Metrics'!T47</f>
        <v>0</v>
      </c>
      <c r="T17">
        <f>'Default Network Metrics'!U47</f>
        <v>50</v>
      </c>
      <c r="U17">
        <f>'Default Network Metrics'!V47</f>
        <v>0</v>
      </c>
      <c r="V17">
        <f>'Default Network Metrics'!W47</f>
        <v>0</v>
      </c>
      <c r="W17">
        <f>'Default Network Metrics'!X47</f>
        <v>0</v>
      </c>
      <c r="X17">
        <f>'Default Network Metrics'!Y47</f>
        <v>0</v>
      </c>
    </row>
    <row r="18" spans="1:24">
      <c r="A18">
        <f>'Default Network Metrics'!B48</f>
        <v>80</v>
      </c>
      <c r="B18">
        <f>'Default Network Metrics'!C48</f>
        <v>0</v>
      </c>
      <c r="C18">
        <f>'Default Network Metrics'!D48</f>
        <v>0</v>
      </c>
      <c r="D18">
        <f>'Default Network Metrics'!E48</f>
        <v>0</v>
      </c>
      <c r="E18">
        <f>'Default Network Metrics'!F48</f>
        <v>80</v>
      </c>
      <c r="F18">
        <f>'Default Network Metrics'!G48</f>
        <v>0</v>
      </c>
      <c r="G18">
        <f>'Default Network Metrics'!H48</f>
        <v>0</v>
      </c>
      <c r="H18">
        <f>'Default Network Metrics'!I48</f>
        <v>0</v>
      </c>
      <c r="I18" s="35">
        <f>'Event Register'!H32</f>
        <v>80</v>
      </c>
      <c r="J18" s="35">
        <f>'Default Network Metrics'!K48</f>
        <v>0</v>
      </c>
      <c r="K18" s="35">
        <f>'Default Network Metrics'!L48</f>
        <v>0</v>
      </c>
      <c r="L18" s="35">
        <f>'Default Network Metrics'!M48</f>
        <v>0</v>
      </c>
      <c r="M18">
        <f>'Default Network Metrics'!N48</f>
        <v>0</v>
      </c>
      <c r="N18">
        <f>'Default Network Metrics'!O48</f>
        <v>0</v>
      </c>
      <c r="O18" s="35">
        <f>'Default Network Metrics'!P48</f>
        <v>0</v>
      </c>
      <c r="P18">
        <f>'Default Network Metrics'!Q48</f>
        <v>0</v>
      </c>
      <c r="Q18">
        <f>'Default Network Metrics'!R48</f>
        <v>0</v>
      </c>
      <c r="R18">
        <f>'Default Network Metrics'!S48</f>
        <v>0</v>
      </c>
      <c r="S18">
        <f>'Default Network Metrics'!T48</f>
        <v>100</v>
      </c>
      <c r="T18">
        <f>'Default Network Metrics'!U48</f>
        <v>50</v>
      </c>
      <c r="U18">
        <f>'Default Network Metrics'!V48</f>
        <v>0</v>
      </c>
      <c r="V18">
        <f>'Default Network Metrics'!W48</f>
        <v>0</v>
      </c>
      <c r="W18">
        <f>'Default Network Metrics'!X48</f>
        <v>0</v>
      </c>
      <c r="X18">
        <f>'Default Network Metrics'!Y48</f>
        <v>0</v>
      </c>
    </row>
    <row r="19" spans="1:24">
      <c r="A19">
        <f>'Default Network Metrics'!B49</f>
        <v>50</v>
      </c>
      <c r="B19">
        <f>'Default Network Metrics'!C49</f>
        <v>0</v>
      </c>
      <c r="C19">
        <f>'Default Network Metrics'!D49</f>
        <v>0</v>
      </c>
      <c r="D19">
        <f>'Default Network Metrics'!E49</f>
        <v>0</v>
      </c>
      <c r="E19">
        <f>'Default Network Metrics'!F49</f>
        <v>50</v>
      </c>
      <c r="F19">
        <f>'Default Network Metrics'!G49</f>
        <v>0</v>
      </c>
      <c r="G19">
        <f>'Default Network Metrics'!H49</f>
        <v>0</v>
      </c>
      <c r="H19">
        <f>'Default Network Metrics'!I49</f>
        <v>0</v>
      </c>
      <c r="I19" s="35">
        <f>'Event Register'!H35</f>
        <v>50</v>
      </c>
      <c r="J19" s="35">
        <f>'Default Network Metrics'!K49</f>
        <v>0</v>
      </c>
      <c r="K19" s="35">
        <f>'Default Network Metrics'!L49</f>
        <v>0</v>
      </c>
      <c r="L19" s="35">
        <f>'Default Network Metrics'!M49</f>
        <v>0</v>
      </c>
      <c r="M19">
        <f>'Default Network Metrics'!N49</f>
        <v>0</v>
      </c>
      <c r="N19">
        <f>'Default Network Metrics'!O49</f>
        <v>0</v>
      </c>
      <c r="O19" s="35">
        <f>'Default Network Metrics'!P49</f>
        <v>0</v>
      </c>
      <c r="P19">
        <f>'Default Network Metrics'!Q49</f>
        <v>0</v>
      </c>
      <c r="Q19">
        <f>'Default Network Metrics'!R49</f>
        <v>0</v>
      </c>
      <c r="R19">
        <f>'Default Network Metrics'!S49</f>
        <v>0</v>
      </c>
      <c r="S19">
        <f>'Default Network Metrics'!T49</f>
        <v>0</v>
      </c>
      <c r="T19">
        <f>'Default Network Metrics'!U49</f>
        <v>0</v>
      </c>
      <c r="U19">
        <f>'Default Network Metrics'!V49</f>
        <v>0</v>
      </c>
      <c r="V19">
        <f>'Default Network Metrics'!W49</f>
        <v>0</v>
      </c>
      <c r="W19">
        <f>'Default Network Metrics'!X49</f>
        <v>0</v>
      </c>
      <c r="X19">
        <f>'Default Network Metrics'!Y49</f>
        <v>0</v>
      </c>
    </row>
    <row r="20" spans="1:24">
      <c r="A20">
        <f>'Default Network Metrics'!B50</f>
        <v>0</v>
      </c>
      <c r="B20">
        <f>'Default Network Metrics'!C50</f>
        <v>0</v>
      </c>
      <c r="C20">
        <f>'Default Network Metrics'!D50</f>
        <v>0</v>
      </c>
      <c r="D20">
        <f>'Default Network Metrics'!E50</f>
        <v>0</v>
      </c>
      <c r="E20">
        <f>'Default Network Metrics'!F50</f>
        <v>0</v>
      </c>
      <c r="F20">
        <f>'Default Network Metrics'!G50</f>
        <v>0</v>
      </c>
      <c r="G20">
        <f>'Default Network Metrics'!H50</f>
        <v>0</v>
      </c>
      <c r="H20">
        <f>'Default Network Metrics'!I50</f>
        <v>0</v>
      </c>
      <c r="I20" s="35">
        <f>'Default Network Metrics'!J50</f>
        <v>0</v>
      </c>
      <c r="J20" s="35">
        <f>'Default Network Metrics'!K50</f>
        <v>0</v>
      </c>
      <c r="K20" s="35">
        <f>'Default Network Metrics'!L50</f>
        <v>0</v>
      </c>
      <c r="L20" s="35">
        <f>'Default Network Metrics'!M50</f>
        <v>0</v>
      </c>
      <c r="M20">
        <f>'Default Network Metrics'!N50</f>
        <v>0</v>
      </c>
      <c r="N20">
        <f>'Default Network Metrics'!O50</f>
        <v>0</v>
      </c>
      <c r="O20" s="35">
        <f>'Default Network Metrics'!P50</f>
        <v>0</v>
      </c>
      <c r="P20">
        <f>'Default Network Metrics'!Q50</f>
        <v>0</v>
      </c>
      <c r="Q20">
        <f>'Default Network Metrics'!R50</f>
        <v>0</v>
      </c>
      <c r="R20">
        <f>'Default Network Metrics'!S50</f>
        <v>0</v>
      </c>
      <c r="S20">
        <f>'Default Network Metrics'!T50</f>
        <v>0</v>
      </c>
      <c r="T20">
        <f>'Default Network Metrics'!U50</f>
        <v>0</v>
      </c>
      <c r="U20">
        <f>'Default Network Metrics'!V50</f>
        <v>100</v>
      </c>
      <c r="V20">
        <f>'Default Network Metrics'!W50</f>
        <v>0</v>
      </c>
      <c r="W20">
        <f>'Default Network Metrics'!X50</f>
        <v>0</v>
      </c>
      <c r="X20">
        <f>'Default Network Metrics'!Y50</f>
        <v>0</v>
      </c>
    </row>
    <row r="21" spans="1:24">
      <c r="A21">
        <f>'Default Network Metrics'!B51</f>
        <v>0</v>
      </c>
      <c r="B21">
        <f>'Default Network Metrics'!C51</f>
        <v>0</v>
      </c>
      <c r="C21">
        <f>'Default Network Metrics'!D51</f>
        <v>0</v>
      </c>
      <c r="D21">
        <f>'Default Network Metrics'!E51</f>
        <v>0</v>
      </c>
      <c r="E21">
        <f>'Default Network Metrics'!F51</f>
        <v>0</v>
      </c>
      <c r="F21">
        <f>'Default Network Metrics'!G51</f>
        <v>0</v>
      </c>
      <c r="G21">
        <f>'Default Network Metrics'!H51</f>
        <v>0</v>
      </c>
      <c r="H21">
        <f>'Default Network Metrics'!I51</f>
        <v>0</v>
      </c>
      <c r="I21" s="35">
        <f>'Default Network Metrics'!J51</f>
        <v>0</v>
      </c>
      <c r="J21" s="35">
        <f>'Default Network Metrics'!K51</f>
        <v>0</v>
      </c>
      <c r="K21" s="35">
        <f>'Default Network Metrics'!L51</f>
        <v>0</v>
      </c>
      <c r="L21" s="35">
        <f>'Default Network Metrics'!M51</f>
        <v>0</v>
      </c>
      <c r="M21">
        <f>'Default Network Metrics'!N51</f>
        <v>0</v>
      </c>
      <c r="N21">
        <f>'Default Network Metrics'!O51</f>
        <v>0</v>
      </c>
      <c r="O21" s="35">
        <f>'Default Network Metrics'!P51</f>
        <v>0</v>
      </c>
      <c r="P21">
        <f>'Default Network Metrics'!Q51</f>
        <v>0</v>
      </c>
      <c r="Q21">
        <f>'Default Network Metrics'!R51</f>
        <v>0</v>
      </c>
      <c r="R21">
        <f>'Default Network Metrics'!S51</f>
        <v>0</v>
      </c>
      <c r="S21">
        <f>'Default Network Metrics'!T51</f>
        <v>0</v>
      </c>
      <c r="T21">
        <f>'Default Network Metrics'!U51</f>
        <v>0</v>
      </c>
      <c r="U21">
        <f>'Default Network Metrics'!V51</f>
        <v>0</v>
      </c>
      <c r="V21">
        <f>'Default Network Metrics'!W51</f>
        <v>100</v>
      </c>
      <c r="W21">
        <f>'Default Network Metrics'!X51</f>
        <v>0</v>
      </c>
      <c r="X21">
        <f>'Default Network Metrics'!Y51</f>
        <v>0</v>
      </c>
    </row>
    <row r="22" spans="1:24">
      <c r="A22">
        <f>'Default Network Metrics'!B52</f>
        <v>0</v>
      </c>
      <c r="B22">
        <f>'Default Network Metrics'!C52</f>
        <v>0</v>
      </c>
      <c r="C22">
        <f>'Default Network Metrics'!D52</f>
        <v>0</v>
      </c>
      <c r="D22">
        <f>'Default Network Metrics'!E52</f>
        <v>0</v>
      </c>
      <c r="E22">
        <f>'Default Network Metrics'!F52</f>
        <v>0</v>
      </c>
      <c r="F22">
        <f>'Default Network Metrics'!G52</f>
        <v>0</v>
      </c>
      <c r="G22">
        <f>'Default Network Metrics'!H52</f>
        <v>0</v>
      </c>
      <c r="H22">
        <f>'Default Network Metrics'!I52</f>
        <v>0</v>
      </c>
      <c r="I22" s="35">
        <f>'Default Network Metrics'!J52</f>
        <v>0</v>
      </c>
      <c r="J22" s="35">
        <f>'Default Network Metrics'!K52</f>
        <v>0</v>
      </c>
      <c r="K22" s="35">
        <f>'Default Network Metrics'!L52</f>
        <v>0</v>
      </c>
      <c r="L22" s="35">
        <f>'Default Network Metrics'!M52</f>
        <v>0</v>
      </c>
      <c r="M22">
        <f>'Default Network Metrics'!N52</f>
        <v>0</v>
      </c>
      <c r="N22">
        <f>'Default Network Metrics'!O52</f>
        <v>0</v>
      </c>
      <c r="O22" s="35">
        <f>'Default Network Metrics'!P52</f>
        <v>0</v>
      </c>
      <c r="P22">
        <f>'Default Network Metrics'!Q52</f>
        <v>0</v>
      </c>
      <c r="Q22">
        <f>'Default Network Metrics'!R52</f>
        <v>0</v>
      </c>
      <c r="R22">
        <f>'Default Network Metrics'!S52</f>
        <v>0</v>
      </c>
      <c r="S22">
        <f>'Default Network Metrics'!T52</f>
        <v>0</v>
      </c>
      <c r="T22">
        <f>'Default Network Metrics'!U52</f>
        <v>0</v>
      </c>
      <c r="U22">
        <f>'Default Network Metrics'!V52</f>
        <v>0</v>
      </c>
      <c r="V22">
        <f>'Default Network Metrics'!W52</f>
        <v>0</v>
      </c>
      <c r="W22">
        <f>'Default Network Metrics'!X52</f>
        <v>100</v>
      </c>
      <c r="X22">
        <f>'Default Network Metrics'!Y52</f>
        <v>0</v>
      </c>
    </row>
    <row r="23" spans="1:24">
      <c r="A23">
        <f>'Default Network Metrics'!B53</f>
        <v>0</v>
      </c>
      <c r="B23">
        <f>'Default Network Metrics'!C53</f>
        <v>0</v>
      </c>
      <c r="C23">
        <f>'Default Network Metrics'!D53</f>
        <v>0</v>
      </c>
      <c r="D23">
        <f>'Default Network Metrics'!E53</f>
        <v>0</v>
      </c>
      <c r="E23">
        <f>'Default Network Metrics'!F53</f>
        <v>0</v>
      </c>
      <c r="F23">
        <f>'Default Network Metrics'!G53</f>
        <v>0</v>
      </c>
      <c r="G23">
        <f>'Default Network Metrics'!H53</f>
        <v>0</v>
      </c>
      <c r="H23">
        <f>'Default Network Metrics'!I53</f>
        <v>0</v>
      </c>
      <c r="I23" s="35">
        <f>'Default Network Metrics'!J53</f>
        <v>0</v>
      </c>
      <c r="J23" s="35">
        <f>'Default Network Metrics'!K53</f>
        <v>0</v>
      </c>
      <c r="K23" s="35">
        <f>'Default Network Metrics'!L53</f>
        <v>0</v>
      </c>
      <c r="L23" s="35">
        <f>'Default Network Metrics'!M53</f>
        <v>0</v>
      </c>
      <c r="M23">
        <f>'Default Network Metrics'!N53</f>
        <v>0</v>
      </c>
      <c r="N23">
        <f>'Default Network Metrics'!O53</f>
        <v>0</v>
      </c>
      <c r="O23" s="35">
        <f>'Default Network Metrics'!P53</f>
        <v>0</v>
      </c>
      <c r="P23">
        <f>'Default Network Metrics'!Q53</f>
        <v>0</v>
      </c>
      <c r="Q23">
        <f>'Default Network Metrics'!R53</f>
        <v>0</v>
      </c>
      <c r="R23">
        <f>'Default Network Metrics'!S53</f>
        <v>0</v>
      </c>
      <c r="S23">
        <f>'Default Network Metrics'!T53</f>
        <v>50</v>
      </c>
      <c r="T23">
        <f>'Default Network Metrics'!U53</f>
        <v>0</v>
      </c>
      <c r="U23">
        <f>'Default Network Metrics'!V53</f>
        <v>0</v>
      </c>
      <c r="V23">
        <f>'Default Network Metrics'!W53</f>
        <v>0</v>
      </c>
      <c r="W23">
        <f>'Default Network Metrics'!X53</f>
        <v>0</v>
      </c>
      <c r="X23">
        <f>'Default Network Metrics'!Y53</f>
        <v>0</v>
      </c>
    </row>
    <row r="24" spans="1:24">
      <c r="A24">
        <f>'Default Network Metrics'!B54</f>
        <v>0</v>
      </c>
      <c r="B24">
        <f>'Default Network Metrics'!C54</f>
        <v>0</v>
      </c>
      <c r="C24">
        <f>'Default Network Metrics'!D54</f>
        <v>0</v>
      </c>
      <c r="D24">
        <f>'Default Network Metrics'!E54</f>
        <v>0</v>
      </c>
      <c r="E24">
        <f>'Default Network Metrics'!F54</f>
        <v>0</v>
      </c>
      <c r="F24">
        <f>'Default Network Metrics'!G54</f>
        <v>0</v>
      </c>
      <c r="G24">
        <f>'Default Network Metrics'!H54</f>
        <v>0</v>
      </c>
      <c r="H24">
        <f>'Default Network Metrics'!I54</f>
        <v>0</v>
      </c>
      <c r="I24" s="35">
        <f>'Default Network Metrics'!J54</f>
        <v>0</v>
      </c>
      <c r="J24" s="35">
        <f>'Default Network Metrics'!K54</f>
        <v>0</v>
      </c>
      <c r="K24" s="35">
        <f>'Default Network Metrics'!L54</f>
        <v>0</v>
      </c>
      <c r="L24" s="35">
        <f>'Default Network Metrics'!M54</f>
        <v>0</v>
      </c>
      <c r="M24">
        <f>'Default Network Metrics'!N54</f>
        <v>0</v>
      </c>
      <c r="N24">
        <f>'Default Network Metrics'!O54</f>
        <v>0</v>
      </c>
      <c r="O24" s="35">
        <f>'Default Network Metrics'!P54</f>
        <v>0</v>
      </c>
      <c r="P24">
        <f>'Default Network Metrics'!Q54</f>
        <v>0</v>
      </c>
      <c r="Q24">
        <f>'Default Network Metrics'!R54</f>
        <v>0</v>
      </c>
      <c r="R24">
        <f>'Default Network Metrics'!S54</f>
        <v>0</v>
      </c>
      <c r="S24">
        <f>'Default Network Metrics'!T54</f>
        <v>0</v>
      </c>
      <c r="T24">
        <f>'Default Network Metrics'!U54</f>
        <v>0</v>
      </c>
      <c r="U24">
        <f>'Default Network Metrics'!V54</f>
        <v>0</v>
      </c>
      <c r="V24">
        <f>'Default Network Metrics'!W54</f>
        <v>0</v>
      </c>
      <c r="W24">
        <f>'Default Network Metrics'!X54</f>
        <v>0</v>
      </c>
      <c r="X24">
        <f>'Default Network Metrics'!Y54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4"/>
  <sheetViews>
    <sheetView workbookViewId="0"/>
  </sheetViews>
  <sheetFormatPr defaultRowHeight="15"/>
  <cols>
    <col min="1" max="8" width="3.7109375" customWidth="1"/>
    <col min="9" max="12" width="3.7109375" style="35" customWidth="1"/>
    <col min="13" max="14" width="3.7109375" customWidth="1"/>
    <col min="15" max="15" width="3.7109375" style="35" customWidth="1"/>
    <col min="16" max="32" width="3.7109375" customWidth="1"/>
  </cols>
  <sheetData>
    <row r="1" spans="1:24">
      <c r="A1">
        <f>'Default Network Metrics'!B59</f>
        <v>0</v>
      </c>
      <c r="B1">
        <f>'Default Network Metrics'!C59</f>
        <v>90</v>
      </c>
      <c r="C1">
        <f>'Default Network Metrics'!D59</f>
        <v>0</v>
      </c>
      <c r="D1">
        <f>'Default Network Metrics'!E59</f>
        <v>0</v>
      </c>
      <c r="E1">
        <f>'Default Network Metrics'!F59</f>
        <v>0</v>
      </c>
      <c r="F1">
        <f>'Default Network Metrics'!G59</f>
        <v>0</v>
      </c>
      <c r="G1">
        <f>'Default Network Metrics'!H59</f>
        <v>0</v>
      </c>
      <c r="H1">
        <f>'Default Network Metrics'!I59</f>
        <v>0</v>
      </c>
      <c r="I1" s="35">
        <f>'Default Network Metrics'!J59</f>
        <v>0</v>
      </c>
      <c r="J1" s="35">
        <f>'Default Network Metrics'!K59</f>
        <v>0</v>
      </c>
      <c r="K1" s="35">
        <f>'Default Network Metrics'!L59</f>
        <v>0</v>
      </c>
      <c r="L1" s="35">
        <f>'Default Network Metrics'!M59</f>
        <v>0</v>
      </c>
      <c r="M1">
        <f>'Default Network Metrics'!N59</f>
        <v>0</v>
      </c>
      <c r="N1">
        <f>'Default Network Metrics'!O59</f>
        <v>0</v>
      </c>
      <c r="O1" s="35">
        <f>'Default Network Metrics'!P59</f>
        <v>0</v>
      </c>
      <c r="P1">
        <f>'Default Network Metrics'!Q59</f>
        <v>0</v>
      </c>
      <c r="Q1">
        <f>'Default Network Metrics'!R59</f>
        <v>10</v>
      </c>
      <c r="R1">
        <f>'Default Network Metrics'!S59</f>
        <v>0</v>
      </c>
      <c r="S1">
        <f>'Default Network Metrics'!T59</f>
        <v>0</v>
      </c>
      <c r="T1">
        <f>'Default Network Metrics'!U59</f>
        <v>0</v>
      </c>
      <c r="U1">
        <f>'Default Network Metrics'!V59</f>
        <v>0</v>
      </c>
      <c r="V1">
        <f>'Default Network Metrics'!W59</f>
        <v>0</v>
      </c>
      <c r="W1">
        <f>'Default Network Metrics'!X59</f>
        <v>0</v>
      </c>
      <c r="X1">
        <f>'Default Network Metrics'!Y59</f>
        <v>0</v>
      </c>
    </row>
    <row r="2" spans="1:24">
      <c r="A2">
        <f>'Default Network Metrics'!B60</f>
        <v>0</v>
      </c>
      <c r="B2">
        <f>'Default Network Metrics'!C60</f>
        <v>0</v>
      </c>
      <c r="C2">
        <f>'Default Network Metrics'!D60</f>
        <v>90</v>
      </c>
      <c r="D2">
        <f>'Default Network Metrics'!E60</f>
        <v>0</v>
      </c>
      <c r="E2">
        <f>'Default Network Metrics'!F60</f>
        <v>0</v>
      </c>
      <c r="F2">
        <f>'Default Network Metrics'!G60</f>
        <v>0</v>
      </c>
      <c r="G2">
        <f>'Default Network Metrics'!H60</f>
        <v>0</v>
      </c>
      <c r="H2">
        <f>'Default Network Metrics'!I60</f>
        <v>0</v>
      </c>
      <c r="I2" s="35">
        <f>'Default Network Metrics'!J60</f>
        <v>0</v>
      </c>
      <c r="J2" s="35">
        <f>'Default Network Metrics'!K60</f>
        <v>0</v>
      </c>
      <c r="K2" s="35">
        <f>'Default Network Metrics'!L60</f>
        <v>0</v>
      </c>
      <c r="L2" s="35">
        <f>'Default Network Metrics'!M60</f>
        <v>0</v>
      </c>
      <c r="M2">
        <f>'Default Network Metrics'!N60</f>
        <v>0</v>
      </c>
      <c r="N2">
        <f>'Default Network Metrics'!O60</f>
        <v>0</v>
      </c>
      <c r="O2" s="35">
        <f>'Default Network Metrics'!P60</f>
        <v>0</v>
      </c>
      <c r="P2">
        <f>'Default Network Metrics'!Q60</f>
        <v>0</v>
      </c>
      <c r="Q2">
        <f>'Default Network Metrics'!R60</f>
        <v>0</v>
      </c>
      <c r="R2">
        <f>'Default Network Metrics'!S60</f>
        <v>0</v>
      </c>
      <c r="S2">
        <f>'Default Network Metrics'!T60</f>
        <v>0</v>
      </c>
      <c r="T2">
        <f>'Default Network Metrics'!U60</f>
        <v>0</v>
      </c>
      <c r="U2">
        <f>'Default Network Metrics'!V60</f>
        <v>0</v>
      </c>
      <c r="V2">
        <f>'Default Network Metrics'!W60</f>
        <v>0</v>
      </c>
      <c r="W2">
        <f>'Default Network Metrics'!X60</f>
        <v>0</v>
      </c>
      <c r="X2">
        <f>'Default Network Metrics'!Y60</f>
        <v>0</v>
      </c>
    </row>
    <row r="3" spans="1:24">
      <c r="A3">
        <f>'Default Network Metrics'!B61</f>
        <v>0</v>
      </c>
      <c r="B3">
        <f>'Default Network Metrics'!C61</f>
        <v>0</v>
      </c>
      <c r="C3">
        <f>'Default Network Metrics'!D61</f>
        <v>0</v>
      </c>
      <c r="D3">
        <f>'Default Network Metrics'!E61</f>
        <v>90</v>
      </c>
      <c r="E3">
        <f>'Default Network Metrics'!F61</f>
        <v>0</v>
      </c>
      <c r="F3">
        <f>'Default Network Metrics'!G61</f>
        <v>0</v>
      </c>
      <c r="G3">
        <f>'Default Network Metrics'!H61</f>
        <v>0</v>
      </c>
      <c r="H3">
        <f>'Default Network Metrics'!I61</f>
        <v>0</v>
      </c>
      <c r="I3" s="35">
        <f>'Default Network Metrics'!J61</f>
        <v>0</v>
      </c>
      <c r="J3" s="35">
        <f>'Default Network Metrics'!K61</f>
        <v>0</v>
      </c>
      <c r="K3" s="35">
        <f>'Default Network Metrics'!L61</f>
        <v>0</v>
      </c>
      <c r="L3" s="35">
        <f>'Default Network Metrics'!M61</f>
        <v>0</v>
      </c>
      <c r="M3">
        <f>'Default Network Metrics'!N61</f>
        <v>0</v>
      </c>
      <c r="N3">
        <f>'Default Network Metrics'!O61</f>
        <v>0</v>
      </c>
      <c r="O3" s="35">
        <f>'Default Network Metrics'!P61</f>
        <v>0</v>
      </c>
      <c r="P3">
        <f>'Default Network Metrics'!Q61</f>
        <v>0</v>
      </c>
      <c r="Q3">
        <f>'Default Network Metrics'!R61</f>
        <v>0</v>
      </c>
      <c r="R3">
        <f>'Default Network Metrics'!S61</f>
        <v>0</v>
      </c>
      <c r="S3">
        <f>'Default Network Metrics'!T61</f>
        <v>0</v>
      </c>
      <c r="T3">
        <f>'Default Network Metrics'!U61</f>
        <v>0</v>
      </c>
      <c r="U3">
        <f>'Default Network Metrics'!V61</f>
        <v>0</v>
      </c>
      <c r="V3">
        <f>'Default Network Metrics'!W61</f>
        <v>0</v>
      </c>
      <c r="W3">
        <f>'Default Network Metrics'!X61</f>
        <v>0</v>
      </c>
      <c r="X3">
        <f>'Default Network Metrics'!Y61</f>
        <v>50</v>
      </c>
    </row>
    <row r="4" spans="1:24">
      <c r="A4">
        <f>'Default Network Metrics'!B62</f>
        <v>0</v>
      </c>
      <c r="B4">
        <f>'Default Network Metrics'!C62</f>
        <v>0</v>
      </c>
      <c r="C4">
        <f>'Default Network Metrics'!D62</f>
        <v>0</v>
      </c>
      <c r="D4">
        <f>'Default Network Metrics'!E62</f>
        <v>0</v>
      </c>
      <c r="E4">
        <f>'Default Network Metrics'!F62</f>
        <v>0</v>
      </c>
      <c r="F4">
        <f>'Default Network Metrics'!G62</f>
        <v>0</v>
      </c>
      <c r="G4">
        <f>'Default Network Metrics'!H62</f>
        <v>0</v>
      </c>
      <c r="H4">
        <f>'Default Network Metrics'!I62</f>
        <v>0</v>
      </c>
      <c r="I4" s="35">
        <f>'Default Network Metrics'!J62</f>
        <v>0</v>
      </c>
      <c r="J4" s="35">
        <f>'Default Network Metrics'!K62</f>
        <v>0</v>
      </c>
      <c r="K4" s="35">
        <f>'Default Network Metrics'!L62</f>
        <v>0</v>
      </c>
      <c r="L4" s="35">
        <f>'Default Network Metrics'!M62</f>
        <v>0</v>
      </c>
      <c r="M4">
        <f>'Default Network Metrics'!N62</f>
        <v>0</v>
      </c>
      <c r="N4">
        <f>'Default Network Metrics'!O62</f>
        <v>0</v>
      </c>
      <c r="O4" s="35">
        <f>'Default Network Metrics'!P62</f>
        <v>0</v>
      </c>
      <c r="P4">
        <f>MIN('Event Register'!H65,'Event Register'!H46)</f>
        <v>80</v>
      </c>
      <c r="Q4">
        <f>'Default Network Metrics'!R62</f>
        <v>0</v>
      </c>
      <c r="R4">
        <f>'Default Network Metrics'!S62</f>
        <v>0</v>
      </c>
      <c r="S4">
        <f>'Default Network Metrics'!T62</f>
        <v>0</v>
      </c>
      <c r="T4">
        <f>'Default Network Metrics'!U62</f>
        <v>0</v>
      </c>
      <c r="U4">
        <f>'Default Network Metrics'!V62</f>
        <v>0</v>
      </c>
      <c r="V4">
        <f>'Default Network Metrics'!W62</f>
        <v>0</v>
      </c>
      <c r="W4">
        <f>'Default Network Metrics'!X62</f>
        <v>0</v>
      </c>
      <c r="X4">
        <f>MAX('Event Register'!H49)</f>
        <v>0</v>
      </c>
    </row>
    <row r="5" spans="1:24">
      <c r="A5">
        <f>'Default Network Metrics'!B63</f>
        <v>0</v>
      </c>
      <c r="B5">
        <f>'Default Network Metrics'!C63</f>
        <v>0</v>
      </c>
      <c r="C5">
        <f>'Default Network Metrics'!D63</f>
        <v>0</v>
      </c>
      <c r="D5">
        <f>'Default Network Metrics'!E63</f>
        <v>0</v>
      </c>
      <c r="E5">
        <f>'Default Network Metrics'!F63</f>
        <v>0</v>
      </c>
      <c r="F5">
        <f>'Default Network Metrics'!G63</f>
        <v>90</v>
      </c>
      <c r="G5">
        <f>'Default Network Metrics'!H63</f>
        <v>0</v>
      </c>
      <c r="H5">
        <f>'Default Network Metrics'!I63</f>
        <v>0</v>
      </c>
      <c r="I5" s="35">
        <f>'Default Network Metrics'!J63</f>
        <v>0</v>
      </c>
      <c r="J5" s="35">
        <f>'Default Network Metrics'!K63</f>
        <v>0</v>
      </c>
      <c r="K5" s="35">
        <f>'Default Network Metrics'!L63</f>
        <v>0</v>
      </c>
      <c r="L5" s="35">
        <f>'Default Network Metrics'!M63</f>
        <v>0</v>
      </c>
      <c r="M5">
        <f>'Default Network Metrics'!N63</f>
        <v>0</v>
      </c>
      <c r="N5">
        <f>'Default Network Metrics'!O63</f>
        <v>0</v>
      </c>
      <c r="O5" s="35">
        <f>'Default Network Metrics'!P63</f>
        <v>0</v>
      </c>
      <c r="P5">
        <f>'Default Network Metrics'!Q63</f>
        <v>0</v>
      </c>
      <c r="Q5">
        <f>'Default Network Metrics'!R63</f>
        <v>10</v>
      </c>
      <c r="R5">
        <f>'Default Network Metrics'!S63</f>
        <v>0</v>
      </c>
      <c r="S5">
        <f>'Default Network Metrics'!T63</f>
        <v>0</v>
      </c>
      <c r="T5">
        <f>'Default Network Metrics'!U63</f>
        <v>0</v>
      </c>
      <c r="U5">
        <f>'Default Network Metrics'!V63</f>
        <v>0</v>
      </c>
      <c r="V5">
        <f>'Default Network Metrics'!W63</f>
        <v>0</v>
      </c>
      <c r="W5">
        <f>'Default Network Metrics'!X63</f>
        <v>0</v>
      </c>
      <c r="X5">
        <f>'Default Network Metrics'!Y63</f>
        <v>0</v>
      </c>
    </row>
    <row r="6" spans="1:24">
      <c r="A6">
        <f>'Default Network Metrics'!B64</f>
        <v>0</v>
      </c>
      <c r="B6">
        <f>'Default Network Metrics'!C64</f>
        <v>0</v>
      </c>
      <c r="C6">
        <f>'Default Network Metrics'!D64</f>
        <v>0</v>
      </c>
      <c r="D6">
        <f>'Default Network Metrics'!E64</f>
        <v>0</v>
      </c>
      <c r="E6">
        <f>'Default Network Metrics'!F64</f>
        <v>0</v>
      </c>
      <c r="F6">
        <f>'Default Network Metrics'!G64</f>
        <v>0</v>
      </c>
      <c r="G6">
        <f>'Default Network Metrics'!H64</f>
        <v>90</v>
      </c>
      <c r="H6">
        <f>'Default Network Metrics'!I64</f>
        <v>0</v>
      </c>
      <c r="I6" s="35">
        <f>'Default Network Metrics'!J64</f>
        <v>0</v>
      </c>
      <c r="J6" s="35">
        <f>'Default Network Metrics'!K64</f>
        <v>0</v>
      </c>
      <c r="K6" s="35">
        <f>'Default Network Metrics'!L64</f>
        <v>0</v>
      </c>
      <c r="L6" s="35">
        <f>'Default Network Metrics'!M64</f>
        <v>0</v>
      </c>
      <c r="M6">
        <f>'Default Network Metrics'!N64</f>
        <v>0</v>
      </c>
      <c r="N6">
        <f>'Default Network Metrics'!O64</f>
        <v>0</v>
      </c>
      <c r="O6" s="35">
        <f>'Default Network Metrics'!P64</f>
        <v>0</v>
      </c>
      <c r="P6">
        <f>'Default Network Metrics'!Q64</f>
        <v>0</v>
      </c>
      <c r="Q6">
        <f>'Default Network Metrics'!R64</f>
        <v>0</v>
      </c>
      <c r="R6">
        <f>'Default Network Metrics'!S64</f>
        <v>0</v>
      </c>
      <c r="S6">
        <f>'Default Network Metrics'!T64</f>
        <v>0</v>
      </c>
      <c r="T6">
        <f>'Default Network Metrics'!U64</f>
        <v>0</v>
      </c>
      <c r="U6">
        <f>'Default Network Metrics'!V64</f>
        <v>0</v>
      </c>
      <c r="V6">
        <f>'Default Network Metrics'!W64</f>
        <v>0</v>
      </c>
      <c r="W6">
        <f>'Default Network Metrics'!X64</f>
        <v>0</v>
      </c>
      <c r="X6">
        <f>'Default Network Metrics'!Y64</f>
        <v>0</v>
      </c>
    </row>
    <row r="7" spans="1:24">
      <c r="A7">
        <f>'Default Network Metrics'!B65</f>
        <v>0</v>
      </c>
      <c r="B7">
        <f>'Default Network Metrics'!C65</f>
        <v>0</v>
      </c>
      <c r="C7">
        <f>'Default Network Metrics'!D65</f>
        <v>0</v>
      </c>
      <c r="D7">
        <f>'Default Network Metrics'!E65</f>
        <v>0</v>
      </c>
      <c r="E7">
        <f>'Default Network Metrics'!F65</f>
        <v>0</v>
      </c>
      <c r="F7">
        <f>'Default Network Metrics'!G65</f>
        <v>0</v>
      </c>
      <c r="G7">
        <f>'Default Network Metrics'!H65</f>
        <v>0</v>
      </c>
      <c r="H7">
        <f>'Default Network Metrics'!I65</f>
        <v>90</v>
      </c>
      <c r="I7" s="35">
        <f>'Default Network Metrics'!J65</f>
        <v>0</v>
      </c>
      <c r="J7" s="35">
        <f>'Default Network Metrics'!K65</f>
        <v>0</v>
      </c>
      <c r="K7" s="35">
        <f>'Default Network Metrics'!L65</f>
        <v>0</v>
      </c>
      <c r="L7" s="35">
        <f>'Default Network Metrics'!M65</f>
        <v>0</v>
      </c>
      <c r="M7">
        <f>'Default Network Metrics'!N65</f>
        <v>0</v>
      </c>
      <c r="N7">
        <f>'Default Network Metrics'!O65</f>
        <v>0</v>
      </c>
      <c r="O7" s="35">
        <f>'Default Network Metrics'!P65</f>
        <v>0</v>
      </c>
      <c r="P7">
        <f>'Default Network Metrics'!Q65</f>
        <v>0</v>
      </c>
      <c r="Q7">
        <f>'Default Network Metrics'!R65</f>
        <v>0</v>
      </c>
      <c r="R7">
        <f>'Default Network Metrics'!S65</f>
        <v>0</v>
      </c>
      <c r="S7">
        <f>'Default Network Metrics'!T65</f>
        <v>0</v>
      </c>
      <c r="T7">
        <f>'Default Network Metrics'!U65</f>
        <v>0</v>
      </c>
      <c r="U7">
        <f>'Default Network Metrics'!V65</f>
        <v>0</v>
      </c>
      <c r="V7">
        <f>'Default Network Metrics'!W65</f>
        <v>0</v>
      </c>
      <c r="W7">
        <f>'Default Network Metrics'!X65</f>
        <v>0</v>
      </c>
      <c r="X7">
        <f>'Default Network Metrics'!Y65</f>
        <v>50</v>
      </c>
    </row>
    <row r="8" spans="1:24">
      <c r="A8">
        <f>'Default Network Metrics'!B66</f>
        <v>0</v>
      </c>
      <c r="B8">
        <f>'Default Network Metrics'!C66</f>
        <v>0</v>
      </c>
      <c r="C8">
        <f>'Default Network Metrics'!D66</f>
        <v>0</v>
      </c>
      <c r="D8">
        <f>'Default Network Metrics'!E66</f>
        <v>0</v>
      </c>
      <c r="E8">
        <f>'Default Network Metrics'!F66</f>
        <v>0</v>
      </c>
      <c r="F8">
        <f>'Default Network Metrics'!G66</f>
        <v>0</v>
      </c>
      <c r="G8">
        <f>'Default Network Metrics'!H66</f>
        <v>0</v>
      </c>
      <c r="H8">
        <f>'Default Network Metrics'!I66</f>
        <v>0</v>
      </c>
      <c r="I8" s="35">
        <f>'Default Network Metrics'!J66</f>
        <v>0</v>
      </c>
      <c r="J8" s="35">
        <f>'Default Network Metrics'!K66</f>
        <v>0</v>
      </c>
      <c r="K8" s="35">
        <f>'Default Network Metrics'!L66</f>
        <v>0</v>
      </c>
      <c r="L8" s="35">
        <f>'Default Network Metrics'!M66</f>
        <v>0</v>
      </c>
      <c r="M8">
        <f>'Default Network Metrics'!N66</f>
        <v>0</v>
      </c>
      <c r="N8">
        <f>'Default Network Metrics'!O66</f>
        <v>0</v>
      </c>
      <c r="O8" s="35">
        <f>'Default Network Metrics'!P66</f>
        <v>0</v>
      </c>
      <c r="P8">
        <f>'Default Network Metrics'!Q66</f>
        <v>0</v>
      </c>
      <c r="Q8">
        <f>'Default Network Metrics'!R66</f>
        <v>0</v>
      </c>
      <c r="R8">
        <f>'Default Network Metrics'!S66</f>
        <v>0</v>
      </c>
      <c r="S8">
        <f>'Default Network Metrics'!T66</f>
        <v>0</v>
      </c>
      <c r="T8">
        <f>'Default Network Metrics'!U66</f>
        <v>0</v>
      </c>
      <c r="U8">
        <f>'Default Network Metrics'!V66</f>
        <v>0</v>
      </c>
      <c r="V8">
        <f>'Default Network Metrics'!W66</f>
        <v>0</v>
      </c>
      <c r="W8">
        <f>'Default Network Metrics'!X66</f>
        <v>0</v>
      </c>
      <c r="X8">
        <f>'Default Network Metrics'!Y66</f>
        <v>100</v>
      </c>
    </row>
    <row r="9" spans="1:24" s="35" customFormat="1">
      <c r="A9" s="35">
        <f>'Default Network Metrics'!B67</f>
        <v>0</v>
      </c>
      <c r="B9" s="35">
        <f>'Default Network Metrics'!C67</f>
        <v>0</v>
      </c>
      <c r="C9" s="35">
        <f>'Default Network Metrics'!D67</f>
        <v>0</v>
      </c>
      <c r="D9" s="35">
        <f>'Default Network Metrics'!E67</f>
        <v>0</v>
      </c>
      <c r="E9" s="35">
        <f>'Default Network Metrics'!F67</f>
        <v>0</v>
      </c>
      <c r="F9" s="35">
        <f>'Default Network Metrics'!G67</f>
        <v>0</v>
      </c>
      <c r="G9" s="35">
        <f>'Default Network Metrics'!H67</f>
        <v>0</v>
      </c>
      <c r="H9" s="35">
        <f>'Default Network Metrics'!I67</f>
        <v>0</v>
      </c>
      <c r="I9" s="36">
        <f>'Default Network Metrics'!J67</f>
        <v>0</v>
      </c>
      <c r="J9" s="35">
        <f>'Event Register'!H12</f>
        <v>90</v>
      </c>
      <c r="K9" s="35">
        <f>'Default Network Metrics'!L67</f>
        <v>0</v>
      </c>
      <c r="L9" s="35">
        <f>'Default Network Metrics'!M67</f>
        <v>0</v>
      </c>
      <c r="M9" s="35">
        <f>'Default Network Metrics'!N67</f>
        <v>0</v>
      </c>
      <c r="N9" s="35">
        <f>'Default Network Metrics'!O67</f>
        <v>0</v>
      </c>
      <c r="O9" s="35">
        <f>'Default Network Metrics'!P67</f>
        <v>0</v>
      </c>
      <c r="P9" s="35">
        <f>'Default Network Metrics'!Q67</f>
        <v>0</v>
      </c>
      <c r="Q9" s="35">
        <f>'Event Register'!H21</f>
        <v>10</v>
      </c>
      <c r="R9" s="35">
        <f>'Default Network Metrics'!S67</f>
        <v>0</v>
      </c>
      <c r="S9" s="35">
        <f>'Default Network Metrics'!T67</f>
        <v>0</v>
      </c>
      <c r="T9" s="35">
        <f>'Default Network Metrics'!U67</f>
        <v>0</v>
      </c>
      <c r="U9" s="35">
        <f>'Default Network Metrics'!V67</f>
        <v>0</v>
      </c>
      <c r="V9" s="35">
        <f>'Default Network Metrics'!W67</f>
        <v>0</v>
      </c>
      <c r="W9" s="35">
        <f>'Default Network Metrics'!X67</f>
        <v>0</v>
      </c>
      <c r="X9" s="35">
        <f>'Default Network Metrics'!Y67</f>
        <v>0</v>
      </c>
    </row>
    <row r="10" spans="1:24" s="35" customFormat="1">
      <c r="A10" s="35">
        <f>'Default Network Metrics'!B68</f>
        <v>0</v>
      </c>
      <c r="B10" s="35">
        <f>'Default Network Metrics'!C68</f>
        <v>0</v>
      </c>
      <c r="C10" s="35">
        <f>'Default Network Metrics'!D68</f>
        <v>0</v>
      </c>
      <c r="D10" s="35">
        <f>'Default Network Metrics'!E68</f>
        <v>0</v>
      </c>
      <c r="E10" s="35">
        <f>'Default Network Metrics'!F68</f>
        <v>0</v>
      </c>
      <c r="F10" s="35">
        <f>'Default Network Metrics'!G68</f>
        <v>0</v>
      </c>
      <c r="G10" s="35">
        <f>'Default Network Metrics'!H68</f>
        <v>0</v>
      </c>
      <c r="H10" s="35">
        <f>'Default Network Metrics'!I68</f>
        <v>0</v>
      </c>
      <c r="I10" s="35">
        <f>'Default Network Metrics'!J68</f>
        <v>0</v>
      </c>
      <c r="J10" s="36">
        <f>'Default Network Metrics'!K68</f>
        <v>0</v>
      </c>
      <c r="K10" s="35">
        <f>'Event Register'!H15</f>
        <v>90</v>
      </c>
      <c r="L10" s="35">
        <f>'Default Network Metrics'!M68</f>
        <v>0</v>
      </c>
      <c r="M10" s="35">
        <f>'Default Network Metrics'!N68</f>
        <v>0</v>
      </c>
      <c r="N10" s="35">
        <f>'Default Network Metrics'!O68</f>
        <v>0</v>
      </c>
      <c r="O10" s="35">
        <f>'Default Network Metrics'!P68</f>
        <v>0</v>
      </c>
      <c r="P10" s="35">
        <f>'Default Network Metrics'!Q68</f>
        <v>0</v>
      </c>
      <c r="Q10" s="35">
        <f>'Default Network Metrics'!R68</f>
        <v>0</v>
      </c>
      <c r="R10" s="35">
        <f>'Default Network Metrics'!S68</f>
        <v>0</v>
      </c>
      <c r="S10" s="35">
        <f>'Default Network Metrics'!T68</f>
        <v>0</v>
      </c>
      <c r="T10" s="35">
        <f>'Default Network Metrics'!U68</f>
        <v>0</v>
      </c>
      <c r="U10" s="35">
        <f>'Default Network Metrics'!V68</f>
        <v>0</v>
      </c>
      <c r="V10" s="35">
        <f>'Default Network Metrics'!W68</f>
        <v>0</v>
      </c>
      <c r="W10" s="35">
        <f>'Default Network Metrics'!X68</f>
        <v>0</v>
      </c>
      <c r="X10" s="35">
        <f>'Default Network Metrics'!Y68</f>
        <v>0</v>
      </c>
    </row>
    <row r="11" spans="1:24" s="35" customFormat="1">
      <c r="A11" s="35">
        <f>'Default Network Metrics'!B69</f>
        <v>0</v>
      </c>
      <c r="B11" s="35">
        <f>'Default Network Metrics'!C69</f>
        <v>0</v>
      </c>
      <c r="C11" s="35">
        <f>'Default Network Metrics'!D69</f>
        <v>0</v>
      </c>
      <c r="D11" s="35">
        <f>'Default Network Metrics'!E69</f>
        <v>0</v>
      </c>
      <c r="E11" s="35">
        <f>'Default Network Metrics'!F69</f>
        <v>0</v>
      </c>
      <c r="F11" s="35">
        <f>'Default Network Metrics'!G69</f>
        <v>0</v>
      </c>
      <c r="G11" s="35">
        <f>'Default Network Metrics'!H69</f>
        <v>0</v>
      </c>
      <c r="H11" s="35">
        <f>'Default Network Metrics'!I69</f>
        <v>0</v>
      </c>
      <c r="I11" s="35">
        <f>'Default Network Metrics'!J69</f>
        <v>0</v>
      </c>
      <c r="J11" s="35">
        <f>'Default Network Metrics'!K69</f>
        <v>0</v>
      </c>
      <c r="K11" s="36">
        <f>'Default Network Metrics'!L69</f>
        <v>0</v>
      </c>
      <c r="L11" s="35">
        <f>'Event Register'!H18</f>
        <v>90</v>
      </c>
      <c r="M11" s="35">
        <f>'Default Network Metrics'!N69</f>
        <v>0</v>
      </c>
      <c r="N11" s="35">
        <f>'Default Network Metrics'!O69</f>
        <v>0</v>
      </c>
      <c r="O11" s="35">
        <f>'Default Network Metrics'!P69</f>
        <v>0</v>
      </c>
      <c r="P11" s="35">
        <f>'Default Network Metrics'!Q69</f>
        <v>0</v>
      </c>
      <c r="Q11" s="35">
        <f>'Default Network Metrics'!R69</f>
        <v>0</v>
      </c>
      <c r="R11" s="35">
        <f>'Default Network Metrics'!S69</f>
        <v>0</v>
      </c>
      <c r="S11" s="35">
        <f>'Default Network Metrics'!T69</f>
        <v>0</v>
      </c>
      <c r="T11" s="35">
        <f>'Default Network Metrics'!U69</f>
        <v>0</v>
      </c>
      <c r="U11" s="35">
        <f>'Default Network Metrics'!V69</f>
        <v>0</v>
      </c>
      <c r="V11" s="35">
        <f>'Default Network Metrics'!W69</f>
        <v>0</v>
      </c>
      <c r="W11" s="35">
        <f>'Default Network Metrics'!X69</f>
        <v>0</v>
      </c>
      <c r="X11" s="35">
        <f>'Event Register'!H24</f>
        <v>50</v>
      </c>
    </row>
    <row r="12" spans="1:24" s="35" customFormat="1">
      <c r="A12" s="35">
        <f>'Default Network Metrics'!B70</f>
        <v>0</v>
      </c>
      <c r="B12" s="35">
        <f>'Default Network Metrics'!C70</f>
        <v>0</v>
      </c>
      <c r="C12" s="35">
        <f>'Default Network Metrics'!D70</f>
        <v>0</v>
      </c>
      <c r="D12" s="35">
        <f>'Default Network Metrics'!E70</f>
        <v>0</v>
      </c>
      <c r="E12" s="35">
        <f>'Default Network Metrics'!F70</f>
        <v>0</v>
      </c>
      <c r="F12" s="35">
        <f>'Default Network Metrics'!G70</f>
        <v>0</v>
      </c>
      <c r="G12" s="35">
        <f>'Default Network Metrics'!H70</f>
        <v>0</v>
      </c>
      <c r="H12" s="35">
        <f>'Default Network Metrics'!I70</f>
        <v>0</v>
      </c>
      <c r="I12" s="35">
        <f>'Default Network Metrics'!J70</f>
        <v>0</v>
      </c>
      <c r="J12" s="35">
        <f>'Default Network Metrics'!K70</f>
        <v>0</v>
      </c>
      <c r="K12" s="35">
        <f>'Default Network Metrics'!L70</f>
        <v>0</v>
      </c>
      <c r="L12" s="36">
        <f>'Default Network Metrics'!M70</f>
        <v>0</v>
      </c>
      <c r="M12" s="35">
        <f>'Default Network Metrics'!N70</f>
        <v>0</v>
      </c>
      <c r="N12" s="35">
        <f>'Default Network Metrics'!O70</f>
        <v>0</v>
      </c>
      <c r="O12" s="35">
        <f>'Default Network Metrics'!P70</f>
        <v>0</v>
      </c>
      <c r="P12" s="35">
        <f>'Default Network Metrics'!Q70</f>
        <v>0</v>
      </c>
      <c r="Q12" s="35">
        <f>'Default Network Metrics'!R70</f>
        <v>0</v>
      </c>
      <c r="R12" s="35">
        <f>'Default Network Metrics'!S70</f>
        <v>0</v>
      </c>
      <c r="S12" s="35">
        <f>'Default Network Metrics'!T70</f>
        <v>0</v>
      </c>
      <c r="T12" s="35">
        <f>'Default Network Metrics'!U70</f>
        <v>0</v>
      </c>
      <c r="U12" s="35">
        <f>'Default Network Metrics'!V70</f>
        <v>0</v>
      </c>
      <c r="V12" s="35">
        <f>'Default Network Metrics'!W70</f>
        <v>0</v>
      </c>
      <c r="W12" s="35">
        <f>'Default Network Metrics'!X70</f>
        <v>0</v>
      </c>
      <c r="X12" s="35">
        <f>'Event Register'!H27</f>
        <v>100</v>
      </c>
    </row>
    <row r="13" spans="1:24">
      <c r="A13">
        <f>'Default Network Metrics'!B71</f>
        <v>0</v>
      </c>
      <c r="B13">
        <f>'Default Network Metrics'!C71</f>
        <v>0</v>
      </c>
      <c r="C13">
        <f>'Default Network Metrics'!D71</f>
        <v>0</v>
      </c>
      <c r="D13">
        <f>'Default Network Metrics'!E71</f>
        <v>0</v>
      </c>
      <c r="E13">
        <f>'Default Network Metrics'!F71</f>
        <v>0</v>
      </c>
      <c r="F13">
        <f>'Default Network Metrics'!G71</f>
        <v>0</v>
      </c>
      <c r="G13">
        <f>'Default Network Metrics'!H71</f>
        <v>0</v>
      </c>
      <c r="H13">
        <f>'Default Network Metrics'!I71</f>
        <v>0</v>
      </c>
      <c r="I13" s="35">
        <f>'Default Network Metrics'!J71</f>
        <v>0</v>
      </c>
      <c r="J13" s="35">
        <f>'Default Network Metrics'!K71</f>
        <v>0</v>
      </c>
      <c r="K13" s="35">
        <f>'Default Network Metrics'!L71</f>
        <v>0</v>
      </c>
      <c r="L13" s="35">
        <f>'Default Network Metrics'!M71</f>
        <v>0</v>
      </c>
      <c r="M13">
        <f>'Default Network Metrics'!N71</f>
        <v>0</v>
      </c>
      <c r="N13">
        <f>'Default Network Metrics'!O71</f>
        <v>90</v>
      </c>
      <c r="O13" s="35">
        <f>'Default Network Metrics'!P71</f>
        <v>0</v>
      </c>
      <c r="P13">
        <f>'Default Network Metrics'!Q71</f>
        <v>0</v>
      </c>
      <c r="Q13">
        <f>'Default Network Metrics'!R71</f>
        <v>0</v>
      </c>
      <c r="R13">
        <f>'Default Network Metrics'!S71</f>
        <v>0</v>
      </c>
      <c r="S13">
        <f>'Default Network Metrics'!T71</f>
        <v>0</v>
      </c>
      <c r="T13">
        <f>'Default Network Metrics'!U71</f>
        <v>0</v>
      </c>
      <c r="U13">
        <f>'Default Network Metrics'!V71</f>
        <v>0</v>
      </c>
      <c r="V13">
        <f>'Default Network Metrics'!W71</f>
        <v>0</v>
      </c>
      <c r="W13">
        <f>'Default Network Metrics'!X71</f>
        <v>0</v>
      </c>
      <c r="X13">
        <f>'Default Network Metrics'!Y71</f>
        <v>0</v>
      </c>
    </row>
    <row r="14" spans="1:24">
      <c r="A14">
        <f>'Default Network Metrics'!B72</f>
        <v>0</v>
      </c>
      <c r="B14">
        <f>'Default Network Metrics'!C72</f>
        <v>0</v>
      </c>
      <c r="C14">
        <f>'Default Network Metrics'!D72</f>
        <v>70</v>
      </c>
      <c r="D14">
        <f>'Default Network Metrics'!E72</f>
        <v>0</v>
      </c>
      <c r="E14">
        <f>'Default Network Metrics'!F72</f>
        <v>0</v>
      </c>
      <c r="F14">
        <f>'Default Network Metrics'!G72</f>
        <v>0</v>
      </c>
      <c r="G14">
        <f>'Default Network Metrics'!H72</f>
        <v>0</v>
      </c>
      <c r="H14">
        <f>'Default Network Metrics'!I72</f>
        <v>0</v>
      </c>
      <c r="I14" s="35">
        <f>'Default Network Metrics'!J72</f>
        <v>0</v>
      </c>
      <c r="J14" s="35">
        <f>'Default Network Metrics'!K72</f>
        <v>0</v>
      </c>
      <c r="K14" s="35">
        <f>'Default Network Metrics'!L72</f>
        <v>0</v>
      </c>
      <c r="L14" s="35">
        <f>'Default Network Metrics'!M72</f>
        <v>0</v>
      </c>
      <c r="M14">
        <f>'Default Network Metrics'!N72</f>
        <v>0</v>
      </c>
      <c r="N14">
        <f>'Default Network Metrics'!O72</f>
        <v>0</v>
      </c>
      <c r="O14" s="35">
        <f>MAX('Event Register'!H40,'Event Register'!H53)</f>
        <v>0</v>
      </c>
      <c r="P14">
        <f>'Default Network Metrics'!Q72</f>
        <v>0</v>
      </c>
      <c r="Q14">
        <f>'Default Network Metrics'!R72</f>
        <v>0</v>
      </c>
      <c r="R14">
        <f>'Default Network Metrics'!S72</f>
        <v>0</v>
      </c>
      <c r="S14">
        <f>'Default Network Metrics'!T72</f>
        <v>0</v>
      </c>
      <c r="T14">
        <f>'Default Network Metrics'!U72</f>
        <v>0</v>
      </c>
      <c r="U14">
        <f>'Default Network Metrics'!V72</f>
        <v>0</v>
      </c>
      <c r="V14">
        <f>'Default Network Metrics'!W72</f>
        <v>0</v>
      </c>
      <c r="W14">
        <f>'Default Network Metrics'!X72</f>
        <v>0</v>
      </c>
      <c r="X14">
        <f>'Default Network Metrics'!Y72</f>
        <v>0</v>
      </c>
    </row>
    <row r="15" spans="1:24" s="35" customFormat="1">
      <c r="A15" s="35">
        <f>'Default Network Metrics'!B73</f>
        <v>0</v>
      </c>
      <c r="B15" s="35">
        <f>'Default Network Metrics'!C73</f>
        <v>0</v>
      </c>
      <c r="C15" s="35">
        <f>'Default Network Metrics'!D73</f>
        <v>0</v>
      </c>
      <c r="D15" s="35">
        <f>'Default Network Metrics'!E73</f>
        <v>0</v>
      </c>
      <c r="E15" s="35">
        <f>'Default Network Metrics'!F73</f>
        <v>0</v>
      </c>
      <c r="F15" s="35">
        <f>'Default Network Metrics'!G73</f>
        <v>0</v>
      </c>
      <c r="G15" s="35">
        <f>'Default Network Metrics'!H73</f>
        <v>0</v>
      </c>
      <c r="H15" s="35">
        <f>'Default Network Metrics'!I73</f>
        <v>0</v>
      </c>
      <c r="I15" s="35">
        <f>'Default Network Metrics'!J73</f>
        <v>0</v>
      </c>
      <c r="J15" s="35">
        <f>'Default Network Metrics'!K73</f>
        <v>0</v>
      </c>
      <c r="K15" s="35">
        <f>'Default Network Metrics'!L73</f>
        <v>0</v>
      </c>
      <c r="L15" s="35">
        <f>'Default Network Metrics'!M73</f>
        <v>0</v>
      </c>
      <c r="M15" s="35">
        <f>'Default Network Metrics'!N73</f>
        <v>0</v>
      </c>
      <c r="N15" s="35">
        <f>'Default Network Metrics'!O73</f>
        <v>0</v>
      </c>
      <c r="O15" s="36">
        <f>'Default Network Metrics'!P73</f>
        <v>0</v>
      </c>
      <c r="P15" s="35">
        <f>MAX('Event Register'!H43,'Event Register'!H56)</f>
        <v>0</v>
      </c>
      <c r="Q15" s="35">
        <f>'Default Network Metrics'!R73</f>
        <v>0</v>
      </c>
      <c r="R15" s="35">
        <f>'Default Network Metrics'!S73</f>
        <v>0</v>
      </c>
      <c r="S15" s="35">
        <f>'Default Network Metrics'!T73</f>
        <v>0</v>
      </c>
      <c r="T15" s="35">
        <f>'Default Network Metrics'!U73</f>
        <v>0</v>
      </c>
      <c r="U15" s="35">
        <f>'Default Network Metrics'!V73</f>
        <v>0</v>
      </c>
      <c r="V15" s="35">
        <f>'Default Network Metrics'!W73</f>
        <v>0</v>
      </c>
      <c r="W15" s="35">
        <f>'Default Network Metrics'!X73</f>
        <v>0</v>
      </c>
      <c r="X15" s="35">
        <f>'Default Network Metrics'!Y73</f>
        <v>0</v>
      </c>
    </row>
    <row r="16" spans="1:24">
      <c r="A16">
        <f>'Default Network Metrics'!B74</f>
        <v>90</v>
      </c>
      <c r="B16">
        <f>'Default Network Metrics'!C74</f>
        <v>0</v>
      </c>
      <c r="C16">
        <f>'Default Network Metrics'!D74</f>
        <v>0</v>
      </c>
      <c r="D16">
        <f>'Default Network Metrics'!E74</f>
        <v>0</v>
      </c>
      <c r="E16">
        <f>'Default Network Metrics'!F74</f>
        <v>90</v>
      </c>
      <c r="F16">
        <f>'Default Network Metrics'!G74</f>
        <v>0</v>
      </c>
      <c r="G16">
        <f>'Default Network Metrics'!H74</f>
        <v>0</v>
      </c>
      <c r="H16">
        <f>'Default Network Metrics'!I74</f>
        <v>0</v>
      </c>
      <c r="I16" s="35">
        <f>'Event Register'!H30</f>
        <v>90</v>
      </c>
      <c r="J16" s="35">
        <f>'Default Network Metrics'!K74</f>
        <v>0</v>
      </c>
      <c r="K16" s="35">
        <f>'Default Network Metrics'!L74</f>
        <v>0</v>
      </c>
      <c r="L16" s="35">
        <f>'Default Network Metrics'!M74</f>
        <v>0</v>
      </c>
      <c r="M16">
        <f>'Default Network Metrics'!N74</f>
        <v>90</v>
      </c>
      <c r="N16">
        <f>'Default Network Metrics'!O74</f>
        <v>0</v>
      </c>
      <c r="O16" s="35">
        <f>'Default Network Metrics'!P74</f>
        <v>0</v>
      </c>
      <c r="P16">
        <f>'Default Network Metrics'!Q74</f>
        <v>0</v>
      </c>
      <c r="Q16">
        <f>'Default Network Metrics'!R74</f>
        <v>0</v>
      </c>
      <c r="R16">
        <f>'Default Network Metrics'!S74</f>
        <v>0</v>
      </c>
      <c r="S16">
        <f>'Default Network Metrics'!T74</f>
        <v>0</v>
      </c>
      <c r="T16">
        <f>'Default Network Metrics'!U74</f>
        <v>0</v>
      </c>
      <c r="U16">
        <f>'Default Network Metrics'!V74</f>
        <v>0</v>
      </c>
      <c r="V16">
        <f>'Default Network Metrics'!W74</f>
        <v>0</v>
      </c>
      <c r="W16">
        <f>'Default Network Metrics'!X74</f>
        <v>0</v>
      </c>
      <c r="X16">
        <f>'Default Network Metrics'!Y74</f>
        <v>100</v>
      </c>
    </row>
    <row r="17" spans="1:24">
      <c r="A17">
        <f>'Default Network Metrics'!B75</f>
        <v>0</v>
      </c>
      <c r="B17">
        <f>'Default Network Metrics'!C75</f>
        <v>0</v>
      </c>
      <c r="C17">
        <f>'Default Network Metrics'!D75</f>
        <v>0</v>
      </c>
      <c r="D17">
        <f>'Default Network Metrics'!E75</f>
        <v>0</v>
      </c>
      <c r="E17">
        <f>'Default Network Metrics'!F75</f>
        <v>0</v>
      </c>
      <c r="F17">
        <f>'Default Network Metrics'!G75</f>
        <v>0</v>
      </c>
      <c r="G17">
        <f>'Default Network Metrics'!H75</f>
        <v>0</v>
      </c>
      <c r="H17">
        <f>'Default Network Metrics'!I75</f>
        <v>0</v>
      </c>
      <c r="I17" s="35">
        <f>'Default Network Metrics'!J75</f>
        <v>0</v>
      </c>
      <c r="J17" s="35">
        <f>'Default Network Metrics'!K75</f>
        <v>0</v>
      </c>
      <c r="K17" s="35">
        <f>'Default Network Metrics'!L75</f>
        <v>0</v>
      </c>
      <c r="L17" s="35">
        <f>'Default Network Metrics'!M75</f>
        <v>0</v>
      </c>
      <c r="M17">
        <f>'Default Network Metrics'!N75</f>
        <v>0</v>
      </c>
      <c r="N17">
        <f>'Default Network Metrics'!O75</f>
        <v>0</v>
      </c>
      <c r="O17" s="35">
        <f>'Default Network Metrics'!P75</f>
        <v>0</v>
      </c>
      <c r="P17">
        <f>'Default Network Metrics'!Q75</f>
        <v>0</v>
      </c>
      <c r="Q17">
        <f>'Default Network Metrics'!R75</f>
        <v>0</v>
      </c>
      <c r="R17">
        <f>'Default Network Metrics'!S75</f>
        <v>90</v>
      </c>
      <c r="S17">
        <f>'Default Network Metrics'!T75</f>
        <v>0</v>
      </c>
      <c r="T17">
        <f>'Default Network Metrics'!U75</f>
        <v>80</v>
      </c>
      <c r="U17">
        <f>'Default Network Metrics'!V75</f>
        <v>0</v>
      </c>
      <c r="V17">
        <f>'Default Network Metrics'!W75</f>
        <v>0</v>
      </c>
      <c r="W17">
        <f>'Default Network Metrics'!X75</f>
        <v>0</v>
      </c>
      <c r="X17">
        <f>'Default Network Metrics'!Y75</f>
        <v>0</v>
      </c>
    </row>
    <row r="18" spans="1:24">
      <c r="A18">
        <f>'Default Network Metrics'!B76</f>
        <v>50</v>
      </c>
      <c r="B18">
        <f>'Default Network Metrics'!C76</f>
        <v>0</v>
      </c>
      <c r="C18">
        <f>'Default Network Metrics'!D76</f>
        <v>0</v>
      </c>
      <c r="D18">
        <f>'Default Network Metrics'!E76</f>
        <v>0</v>
      </c>
      <c r="E18">
        <f>'Default Network Metrics'!F76</f>
        <v>50</v>
      </c>
      <c r="F18">
        <f>'Default Network Metrics'!G76</f>
        <v>0</v>
      </c>
      <c r="G18">
        <f>'Default Network Metrics'!H76</f>
        <v>0</v>
      </c>
      <c r="H18">
        <f>'Default Network Metrics'!I76</f>
        <v>0</v>
      </c>
      <c r="I18" s="35">
        <f>'Event Register'!H33</f>
        <v>50</v>
      </c>
      <c r="J18" s="35">
        <f>'Default Network Metrics'!K76</f>
        <v>0</v>
      </c>
      <c r="K18" s="35">
        <f>'Default Network Metrics'!L76</f>
        <v>0</v>
      </c>
      <c r="L18" s="35">
        <f>'Default Network Metrics'!M76</f>
        <v>0</v>
      </c>
      <c r="M18">
        <f>'Default Network Metrics'!N76</f>
        <v>0</v>
      </c>
      <c r="N18">
        <f>'Default Network Metrics'!O76</f>
        <v>0</v>
      </c>
      <c r="O18" s="35">
        <f>'Default Network Metrics'!P76</f>
        <v>0</v>
      </c>
      <c r="P18">
        <f>'Default Network Metrics'!Q76</f>
        <v>0</v>
      </c>
      <c r="Q18">
        <f>'Default Network Metrics'!R76</f>
        <v>0</v>
      </c>
      <c r="R18">
        <f>'Default Network Metrics'!S76</f>
        <v>0</v>
      </c>
      <c r="S18">
        <f>'Default Network Metrics'!T76</f>
        <v>90</v>
      </c>
      <c r="T18">
        <f>'Default Network Metrics'!U76</f>
        <v>80</v>
      </c>
      <c r="U18">
        <f>'Default Network Metrics'!V76</f>
        <v>0</v>
      </c>
      <c r="V18">
        <f>'Default Network Metrics'!W76</f>
        <v>0</v>
      </c>
      <c r="W18">
        <f>'Default Network Metrics'!X76</f>
        <v>0</v>
      </c>
      <c r="X18">
        <f>'Default Network Metrics'!Y76</f>
        <v>0</v>
      </c>
    </row>
    <row r="19" spans="1:24">
      <c r="A19">
        <f>'Default Network Metrics'!B77</f>
        <v>50</v>
      </c>
      <c r="B19">
        <f>'Default Network Metrics'!C77</f>
        <v>0</v>
      </c>
      <c r="C19">
        <f>'Default Network Metrics'!D77</f>
        <v>0</v>
      </c>
      <c r="D19">
        <f>'Default Network Metrics'!E77</f>
        <v>0</v>
      </c>
      <c r="E19">
        <f>'Default Network Metrics'!F77</f>
        <v>50</v>
      </c>
      <c r="F19">
        <f>'Default Network Metrics'!G77</f>
        <v>0</v>
      </c>
      <c r="G19">
        <f>'Default Network Metrics'!H77</f>
        <v>0</v>
      </c>
      <c r="H19">
        <f>'Default Network Metrics'!I77</f>
        <v>0</v>
      </c>
      <c r="I19" s="35">
        <f>'Event Register'!H36</f>
        <v>50</v>
      </c>
      <c r="J19" s="35">
        <f>'Default Network Metrics'!K77</f>
        <v>0</v>
      </c>
      <c r="K19" s="35">
        <f>'Default Network Metrics'!L77</f>
        <v>0</v>
      </c>
      <c r="L19" s="35">
        <f>'Default Network Metrics'!M77</f>
        <v>0</v>
      </c>
      <c r="M19">
        <f>'Default Network Metrics'!N77</f>
        <v>0</v>
      </c>
      <c r="N19">
        <f>'Default Network Metrics'!O77</f>
        <v>0</v>
      </c>
      <c r="O19" s="35">
        <f>'Default Network Metrics'!P77</f>
        <v>0</v>
      </c>
      <c r="P19">
        <f>'Default Network Metrics'!Q77</f>
        <v>0</v>
      </c>
      <c r="Q19">
        <f>'Default Network Metrics'!R77</f>
        <v>0</v>
      </c>
      <c r="R19">
        <f>'Default Network Metrics'!S77</f>
        <v>0</v>
      </c>
      <c r="S19">
        <f>'Default Network Metrics'!T77</f>
        <v>0</v>
      </c>
      <c r="T19">
        <f>'Default Network Metrics'!U77</f>
        <v>0</v>
      </c>
      <c r="U19">
        <f>'Default Network Metrics'!V77</f>
        <v>0</v>
      </c>
      <c r="V19">
        <f>'Default Network Metrics'!W77</f>
        <v>0</v>
      </c>
      <c r="W19">
        <f>'Default Network Metrics'!X77</f>
        <v>0</v>
      </c>
      <c r="X19">
        <f>'Default Network Metrics'!Y77</f>
        <v>0</v>
      </c>
    </row>
    <row r="20" spans="1:24">
      <c r="A20">
        <f>'Default Network Metrics'!B78</f>
        <v>0</v>
      </c>
      <c r="B20">
        <f>'Default Network Metrics'!C78</f>
        <v>0</v>
      </c>
      <c r="C20">
        <f>'Default Network Metrics'!D78</f>
        <v>0</v>
      </c>
      <c r="D20">
        <f>'Default Network Metrics'!E78</f>
        <v>0</v>
      </c>
      <c r="E20">
        <f>'Default Network Metrics'!F78</f>
        <v>0</v>
      </c>
      <c r="F20">
        <f>'Default Network Metrics'!G78</f>
        <v>0</v>
      </c>
      <c r="G20">
        <f>'Default Network Metrics'!H78</f>
        <v>0</v>
      </c>
      <c r="H20">
        <f>'Default Network Metrics'!I78</f>
        <v>0</v>
      </c>
      <c r="I20" s="35">
        <f>'Default Network Metrics'!J78</f>
        <v>0</v>
      </c>
      <c r="J20" s="35">
        <f>'Default Network Metrics'!K78</f>
        <v>0</v>
      </c>
      <c r="K20" s="35">
        <f>'Default Network Metrics'!L78</f>
        <v>0</v>
      </c>
      <c r="L20" s="35">
        <f>'Default Network Metrics'!M78</f>
        <v>0</v>
      </c>
      <c r="M20">
        <f>'Default Network Metrics'!N78</f>
        <v>0</v>
      </c>
      <c r="N20">
        <f>'Default Network Metrics'!O78</f>
        <v>0</v>
      </c>
      <c r="O20" s="35">
        <f>'Default Network Metrics'!P78</f>
        <v>0</v>
      </c>
      <c r="P20">
        <f>'Default Network Metrics'!Q78</f>
        <v>0</v>
      </c>
      <c r="Q20">
        <f>'Default Network Metrics'!R78</f>
        <v>0</v>
      </c>
      <c r="R20">
        <f>'Default Network Metrics'!S78</f>
        <v>0</v>
      </c>
      <c r="S20">
        <f>'Default Network Metrics'!T78</f>
        <v>0</v>
      </c>
      <c r="T20">
        <f>'Default Network Metrics'!U78</f>
        <v>0</v>
      </c>
      <c r="U20">
        <f>'Default Network Metrics'!V78</f>
        <v>90</v>
      </c>
      <c r="V20">
        <f>'Default Network Metrics'!W78</f>
        <v>0</v>
      </c>
      <c r="W20">
        <f>'Default Network Metrics'!X78</f>
        <v>0</v>
      </c>
      <c r="X20">
        <f>'Default Network Metrics'!Y78</f>
        <v>0</v>
      </c>
    </row>
    <row r="21" spans="1:24">
      <c r="A21">
        <f>'Default Network Metrics'!B79</f>
        <v>0</v>
      </c>
      <c r="B21">
        <f>'Default Network Metrics'!C79</f>
        <v>0</v>
      </c>
      <c r="C21">
        <f>'Default Network Metrics'!D79</f>
        <v>0</v>
      </c>
      <c r="D21">
        <f>'Default Network Metrics'!E79</f>
        <v>0</v>
      </c>
      <c r="E21">
        <f>'Default Network Metrics'!F79</f>
        <v>0</v>
      </c>
      <c r="F21">
        <f>'Default Network Metrics'!G79</f>
        <v>0</v>
      </c>
      <c r="G21">
        <f>'Default Network Metrics'!H79</f>
        <v>0</v>
      </c>
      <c r="H21">
        <f>'Default Network Metrics'!I79</f>
        <v>0</v>
      </c>
      <c r="I21" s="35">
        <f>'Default Network Metrics'!J79</f>
        <v>0</v>
      </c>
      <c r="J21" s="35">
        <f>'Default Network Metrics'!K79</f>
        <v>0</v>
      </c>
      <c r="K21" s="35">
        <f>'Default Network Metrics'!L79</f>
        <v>0</v>
      </c>
      <c r="L21" s="35">
        <f>'Default Network Metrics'!M79</f>
        <v>0</v>
      </c>
      <c r="M21">
        <f>'Default Network Metrics'!N79</f>
        <v>0</v>
      </c>
      <c r="N21">
        <f>'Default Network Metrics'!O79</f>
        <v>0</v>
      </c>
      <c r="O21" s="35">
        <f>'Default Network Metrics'!P79</f>
        <v>0</v>
      </c>
      <c r="P21">
        <f>'Default Network Metrics'!Q79</f>
        <v>0</v>
      </c>
      <c r="Q21">
        <f>'Default Network Metrics'!R79</f>
        <v>0</v>
      </c>
      <c r="R21">
        <f>'Default Network Metrics'!S79</f>
        <v>0</v>
      </c>
      <c r="S21">
        <f>'Default Network Metrics'!T79</f>
        <v>0</v>
      </c>
      <c r="T21">
        <f>'Default Network Metrics'!U79</f>
        <v>0</v>
      </c>
      <c r="U21">
        <f>'Default Network Metrics'!V79</f>
        <v>0</v>
      </c>
      <c r="V21">
        <f>'Default Network Metrics'!W79</f>
        <v>90</v>
      </c>
      <c r="W21">
        <f>'Default Network Metrics'!X79</f>
        <v>0</v>
      </c>
      <c r="X21">
        <f>'Default Network Metrics'!Y79</f>
        <v>0</v>
      </c>
    </row>
    <row r="22" spans="1:24">
      <c r="A22">
        <f>'Default Network Metrics'!B80</f>
        <v>0</v>
      </c>
      <c r="B22">
        <f>'Default Network Metrics'!C80</f>
        <v>0</v>
      </c>
      <c r="C22">
        <f>'Default Network Metrics'!D80</f>
        <v>0</v>
      </c>
      <c r="D22">
        <f>'Default Network Metrics'!E80</f>
        <v>0</v>
      </c>
      <c r="E22">
        <f>'Default Network Metrics'!F80</f>
        <v>0</v>
      </c>
      <c r="F22">
        <f>'Default Network Metrics'!G80</f>
        <v>0</v>
      </c>
      <c r="G22">
        <f>'Default Network Metrics'!H80</f>
        <v>0</v>
      </c>
      <c r="H22">
        <f>'Default Network Metrics'!I80</f>
        <v>0</v>
      </c>
      <c r="I22" s="35">
        <f>'Default Network Metrics'!J80</f>
        <v>0</v>
      </c>
      <c r="J22" s="35">
        <f>'Default Network Metrics'!K80</f>
        <v>0</v>
      </c>
      <c r="K22" s="35">
        <f>'Default Network Metrics'!L80</f>
        <v>0</v>
      </c>
      <c r="L22" s="35">
        <f>'Default Network Metrics'!M80</f>
        <v>0</v>
      </c>
      <c r="M22">
        <f>'Default Network Metrics'!N80</f>
        <v>0</v>
      </c>
      <c r="N22">
        <f>'Default Network Metrics'!O80</f>
        <v>0</v>
      </c>
      <c r="O22" s="35">
        <f>'Default Network Metrics'!P80</f>
        <v>0</v>
      </c>
      <c r="P22">
        <f>'Default Network Metrics'!Q80</f>
        <v>0</v>
      </c>
      <c r="Q22">
        <f>'Default Network Metrics'!R80</f>
        <v>0</v>
      </c>
      <c r="R22">
        <f>'Default Network Metrics'!S80</f>
        <v>0</v>
      </c>
      <c r="S22">
        <f>'Default Network Metrics'!T80</f>
        <v>0</v>
      </c>
      <c r="T22">
        <f>'Default Network Metrics'!U80</f>
        <v>0</v>
      </c>
      <c r="U22">
        <f>'Default Network Metrics'!V80</f>
        <v>0</v>
      </c>
      <c r="V22">
        <f>'Default Network Metrics'!W80</f>
        <v>0</v>
      </c>
      <c r="W22">
        <f>'Default Network Metrics'!X80</f>
        <v>90</v>
      </c>
      <c r="X22">
        <f>'Default Network Metrics'!Y80</f>
        <v>0</v>
      </c>
    </row>
    <row r="23" spans="1:24">
      <c r="A23">
        <f>'Default Network Metrics'!B81</f>
        <v>0</v>
      </c>
      <c r="B23">
        <f>'Default Network Metrics'!C81</f>
        <v>0</v>
      </c>
      <c r="C23">
        <f>'Default Network Metrics'!D81</f>
        <v>0</v>
      </c>
      <c r="D23">
        <f>'Default Network Metrics'!E81</f>
        <v>0</v>
      </c>
      <c r="E23">
        <f>'Default Network Metrics'!F81</f>
        <v>0</v>
      </c>
      <c r="F23">
        <f>'Default Network Metrics'!G81</f>
        <v>0</v>
      </c>
      <c r="G23">
        <f>'Default Network Metrics'!H81</f>
        <v>0</v>
      </c>
      <c r="H23">
        <f>'Default Network Metrics'!I81</f>
        <v>0</v>
      </c>
      <c r="I23" s="35">
        <f>'Default Network Metrics'!J81</f>
        <v>0</v>
      </c>
      <c r="J23" s="35">
        <f>'Default Network Metrics'!K81</f>
        <v>0</v>
      </c>
      <c r="K23" s="35">
        <f>'Default Network Metrics'!L81</f>
        <v>0</v>
      </c>
      <c r="L23" s="35">
        <f>'Default Network Metrics'!M81</f>
        <v>0</v>
      </c>
      <c r="M23">
        <f>'Default Network Metrics'!N81</f>
        <v>0</v>
      </c>
      <c r="N23">
        <f>'Default Network Metrics'!O81</f>
        <v>0</v>
      </c>
      <c r="O23" s="35">
        <f>'Default Network Metrics'!P81</f>
        <v>0</v>
      </c>
      <c r="P23">
        <f>'Default Network Metrics'!Q81</f>
        <v>0</v>
      </c>
      <c r="Q23">
        <f>'Default Network Metrics'!R81</f>
        <v>0</v>
      </c>
      <c r="R23">
        <f>'Default Network Metrics'!S81</f>
        <v>0</v>
      </c>
      <c r="S23">
        <f>'Default Network Metrics'!T81</f>
        <v>0</v>
      </c>
      <c r="T23">
        <f>'Default Network Metrics'!U81</f>
        <v>0</v>
      </c>
      <c r="U23">
        <f>'Default Network Metrics'!V81</f>
        <v>0</v>
      </c>
      <c r="V23">
        <f>'Default Network Metrics'!W81</f>
        <v>0</v>
      </c>
      <c r="W23">
        <f>'Default Network Metrics'!X81</f>
        <v>0</v>
      </c>
      <c r="X23">
        <f>'Default Network Metrics'!Y81</f>
        <v>0</v>
      </c>
    </row>
    <row r="24" spans="1:24">
      <c r="A24">
        <f>'Default Network Metrics'!B82</f>
        <v>0</v>
      </c>
      <c r="B24">
        <f>'Default Network Metrics'!C82</f>
        <v>0</v>
      </c>
      <c r="C24">
        <f>'Default Network Metrics'!D82</f>
        <v>0</v>
      </c>
      <c r="D24">
        <f>'Default Network Metrics'!E82</f>
        <v>0</v>
      </c>
      <c r="E24">
        <f>'Default Network Metrics'!F82</f>
        <v>0</v>
      </c>
      <c r="F24">
        <f>'Default Network Metrics'!G82</f>
        <v>0</v>
      </c>
      <c r="G24">
        <f>'Default Network Metrics'!H82</f>
        <v>0</v>
      </c>
      <c r="H24">
        <f>'Default Network Metrics'!I82</f>
        <v>0</v>
      </c>
      <c r="I24" s="35">
        <f>'Default Network Metrics'!J82</f>
        <v>0</v>
      </c>
      <c r="J24" s="35">
        <f>'Default Network Metrics'!K82</f>
        <v>0</v>
      </c>
      <c r="K24" s="35">
        <f>'Default Network Metrics'!L82</f>
        <v>0</v>
      </c>
      <c r="L24" s="35">
        <f>'Default Network Metrics'!M82</f>
        <v>0</v>
      </c>
      <c r="M24">
        <f>'Default Network Metrics'!N82</f>
        <v>0</v>
      </c>
      <c r="N24">
        <f>'Default Network Metrics'!O82</f>
        <v>0</v>
      </c>
      <c r="O24" s="35">
        <f>'Default Network Metrics'!P82</f>
        <v>0</v>
      </c>
      <c r="P24">
        <f>'Default Network Metrics'!Q82</f>
        <v>0</v>
      </c>
      <c r="Q24">
        <f>'Default Network Metrics'!R82</f>
        <v>0</v>
      </c>
      <c r="R24">
        <f>'Default Network Metrics'!S82</f>
        <v>0</v>
      </c>
      <c r="S24">
        <f>'Default Network Metrics'!T82</f>
        <v>0</v>
      </c>
      <c r="T24">
        <f>'Default Network Metrics'!U82</f>
        <v>0</v>
      </c>
      <c r="U24">
        <f>'Default Network Metrics'!V82</f>
        <v>0</v>
      </c>
      <c r="V24">
        <f>'Default Network Metrics'!W82</f>
        <v>0</v>
      </c>
      <c r="W24">
        <f>'Default Network Metrics'!X82</f>
        <v>0</v>
      </c>
      <c r="X24">
        <f>'Default Network Metrics'!Y82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tabSelected="1" workbookViewId="0">
      <selection activeCell="C25" sqref="C25"/>
    </sheetView>
  </sheetViews>
  <sheetFormatPr defaultRowHeight="15"/>
  <cols>
    <col min="4" max="4" width="33.140625" customWidth="1"/>
    <col min="7" max="7" width="22.42578125" customWidth="1"/>
  </cols>
  <sheetData>
    <row r="1" spans="1:3">
      <c r="A1" t="str">
        <f>'Default Network Metrics'!AC3</f>
        <v>B</v>
      </c>
      <c r="B1">
        <f>'Default Network Metrics'!AD3</f>
        <v>5</v>
      </c>
      <c r="C1">
        <f>'Event Register'!H66</f>
        <v>5</v>
      </c>
    </row>
    <row r="2" spans="1:3">
      <c r="A2" t="str">
        <f>'Default Network Metrics'!AC4</f>
        <v>B</v>
      </c>
      <c r="B2">
        <f>'Default Network Metrics'!AD4</f>
        <v>5</v>
      </c>
      <c r="C2">
        <f>'Default Network Metrics'!AE4</f>
        <v>2</v>
      </c>
    </row>
    <row r="3" spans="1:3">
      <c r="A3" t="str">
        <f>'Default Network Metrics'!AC5</f>
        <v>B</v>
      </c>
      <c r="B3">
        <f>'Default Network Metrics'!AD5</f>
        <v>5</v>
      </c>
      <c r="C3">
        <f>'Default Network Metrics'!AE5</f>
        <v>2</v>
      </c>
    </row>
    <row r="4" spans="1:3">
      <c r="A4" t="str">
        <f>'Default Network Metrics'!AC6</f>
        <v>B</v>
      </c>
      <c r="B4">
        <f>'Default Network Metrics'!AD6</f>
        <v>5</v>
      </c>
      <c r="C4">
        <f>'Default Network Metrics'!AE6</f>
        <v>2</v>
      </c>
    </row>
    <row r="5" spans="1:3">
      <c r="A5" t="str">
        <f>'Default Network Metrics'!AC7</f>
        <v>B</v>
      </c>
      <c r="B5">
        <f>'Default Network Metrics'!AD7</f>
        <v>5</v>
      </c>
      <c r="C5">
        <f>'Event Register'!H67</f>
        <v>5</v>
      </c>
    </row>
    <row r="6" spans="1:3">
      <c r="A6" t="str">
        <f>'Default Network Metrics'!AC8</f>
        <v>B</v>
      </c>
      <c r="B6">
        <f>'Default Network Metrics'!AD8</f>
        <v>5</v>
      </c>
      <c r="C6">
        <f>'Default Network Metrics'!AE8</f>
        <v>2</v>
      </c>
    </row>
    <row r="7" spans="1:3">
      <c r="A7" t="str">
        <f>'Default Network Metrics'!AC9</f>
        <v>B</v>
      </c>
      <c r="B7">
        <f>'Default Network Metrics'!AD9</f>
        <v>5</v>
      </c>
      <c r="C7">
        <f>'Default Network Metrics'!AE9</f>
        <v>2</v>
      </c>
    </row>
    <row r="8" spans="1:3">
      <c r="A8" t="str">
        <f>'Default Network Metrics'!AC10</f>
        <v>B</v>
      </c>
      <c r="B8">
        <f>'Default Network Metrics'!AD10</f>
        <v>5</v>
      </c>
      <c r="C8">
        <f>'Default Network Metrics'!AE10</f>
        <v>2</v>
      </c>
    </row>
    <row r="9" spans="1:3" s="38" customFormat="1">
      <c r="A9" s="38" t="str">
        <f>'Default Network Metrics'!AC11</f>
        <v>B</v>
      </c>
      <c r="B9" s="38">
        <f>'Event Register'!H2</f>
        <v>5</v>
      </c>
      <c r="C9" s="38">
        <f>MAX('Event Register'!H6,'Event Register'!H68)</f>
        <v>5</v>
      </c>
    </row>
    <row r="10" spans="1:3" s="38" customFormat="1">
      <c r="A10" s="38" t="str">
        <f>'Default Network Metrics'!AC12</f>
        <v>B</v>
      </c>
      <c r="B10" s="38">
        <f>'Event Register'!H3</f>
        <v>5</v>
      </c>
      <c r="C10" s="38">
        <f>'Event Register'!H7</f>
        <v>2</v>
      </c>
    </row>
    <row r="11" spans="1:3" s="38" customFormat="1">
      <c r="A11" s="38" t="str">
        <f>'Default Network Metrics'!AC13</f>
        <v>B</v>
      </c>
      <c r="B11" s="38">
        <f>'Event Register'!H4</f>
        <v>5</v>
      </c>
      <c r="C11" s="38">
        <f>'Event Register'!H8</f>
        <v>2</v>
      </c>
    </row>
    <row r="12" spans="1:3" s="38" customFormat="1">
      <c r="A12" s="38" t="str">
        <f>'Default Network Metrics'!AC14</f>
        <v>B</v>
      </c>
      <c r="B12" s="38">
        <f>'Event Register'!H5</f>
        <v>5</v>
      </c>
      <c r="C12" s="38">
        <f>'Event Register'!H9</f>
        <v>2</v>
      </c>
    </row>
    <row r="13" spans="1:3">
      <c r="A13" t="str">
        <f>'Event Register'!H69</f>
        <v>B</v>
      </c>
      <c r="B13">
        <f>'Event Register'!H72</f>
        <v>5</v>
      </c>
      <c r="C13">
        <f>'Event Register'!H75</f>
        <v>5</v>
      </c>
    </row>
    <row r="14" spans="1:3">
      <c r="A14" t="str">
        <f>'Default Network Metrics'!AC16</f>
        <v>D</v>
      </c>
      <c r="B14">
        <f>'Default Network Metrics'!AD16</f>
        <v>80</v>
      </c>
      <c r="C14">
        <f>'Default Network Metrics'!AE16</f>
        <v>0</v>
      </c>
    </row>
    <row r="15" spans="1:3" s="38" customFormat="1">
      <c r="A15" s="38" t="str">
        <f>'Default Network Metrics'!AC17</f>
        <v>D</v>
      </c>
      <c r="B15" s="38">
        <f>MAX('Event Register'!H37,'Event Register'!H50)</f>
        <v>0</v>
      </c>
      <c r="C15" s="38">
        <f>'Default Network Metrics'!AE17</f>
        <v>0</v>
      </c>
    </row>
    <row r="16" spans="1:3">
      <c r="A16" t="str">
        <f>'Event Register'!H70</f>
        <v>B</v>
      </c>
      <c r="B16">
        <f>'Event Register'!H73</f>
        <v>5</v>
      </c>
      <c r="C16">
        <f>'Event Register'!H76</f>
        <v>5</v>
      </c>
    </row>
    <row r="17" spans="1:3">
      <c r="A17" t="str">
        <f>'Default Network Metrics'!AC19</f>
        <v>D</v>
      </c>
      <c r="B17">
        <f>'Default Network Metrics'!AD19</f>
        <v>80</v>
      </c>
      <c r="C17">
        <f>'Default Network Metrics'!AE19</f>
        <v>0</v>
      </c>
    </row>
    <row r="18" spans="1:3">
      <c r="A18" t="str">
        <f>'Default Network Metrics'!AC20</f>
        <v>D</v>
      </c>
      <c r="B18">
        <f>'Default Network Metrics'!AD20</f>
        <v>80</v>
      </c>
      <c r="C18">
        <f>'Default Network Metrics'!AE20</f>
        <v>0</v>
      </c>
    </row>
    <row r="19" spans="1:3">
      <c r="A19" t="str">
        <f>'Default Network Metrics'!AC21</f>
        <v>D</v>
      </c>
      <c r="B19">
        <f>'Default Network Metrics'!AD21</f>
        <v>80</v>
      </c>
      <c r="C19">
        <f>'Default Network Metrics'!AE21</f>
        <v>0</v>
      </c>
    </row>
    <row r="20" spans="1:3">
      <c r="A20" t="str">
        <f>'Default Network Metrics'!AC22</f>
        <v>D</v>
      </c>
      <c r="B20">
        <f>'Default Network Metrics'!AD22</f>
        <v>80</v>
      </c>
      <c r="C20">
        <f>'Default Network Metrics'!AE22</f>
        <v>0</v>
      </c>
    </row>
    <row r="21" spans="1:3">
      <c r="A21" t="str">
        <f>'Default Network Metrics'!AC23</f>
        <v>D</v>
      </c>
      <c r="B21">
        <f>'Default Network Metrics'!AD23</f>
        <v>80</v>
      </c>
      <c r="C21">
        <f>'Default Network Metrics'!AE23</f>
        <v>0</v>
      </c>
    </row>
    <row r="22" spans="1:3">
      <c r="A22" t="str">
        <f>'Default Network Metrics'!AC24</f>
        <v>D</v>
      </c>
      <c r="B22">
        <f>'Default Network Metrics'!AD24</f>
        <v>80</v>
      </c>
      <c r="C22">
        <f>'Default Network Metrics'!AE24</f>
        <v>0</v>
      </c>
    </row>
    <row r="23" spans="1:3">
      <c r="A23" t="str">
        <f>'Default Network Metrics'!AC25</f>
        <v>D</v>
      </c>
      <c r="B23">
        <f>'Default Network Metrics'!AD25</f>
        <v>80</v>
      </c>
      <c r="C23">
        <f>'Default Network Metrics'!AE25</f>
        <v>0</v>
      </c>
    </row>
    <row r="24" spans="1:3">
      <c r="A24" t="str">
        <f>'Event Register'!H71</f>
        <v>B</v>
      </c>
      <c r="B24">
        <f>'Event Register'!H74</f>
        <v>5</v>
      </c>
      <c r="C24">
        <f>'Event Register'!H77</f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4"/>
  <sheetViews>
    <sheetView workbookViewId="0"/>
  </sheetViews>
  <sheetFormatPr defaultRowHeight="15"/>
  <cols>
    <col min="1" max="1" width="19" customWidth="1"/>
  </cols>
  <sheetData>
    <row r="1" spans="1:1">
      <c r="A1" t="s">
        <v>53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7" spans="1:1">
      <c r="A7" t="s">
        <v>60</v>
      </c>
    </row>
    <row r="8" spans="1:1">
      <c r="A8" t="s">
        <v>61</v>
      </c>
    </row>
    <row r="9" spans="1:1" s="38" customFormat="1">
      <c r="A9" s="38" t="s">
        <v>62</v>
      </c>
    </row>
    <row r="10" spans="1:1" s="38" customFormat="1">
      <c r="A10" s="38" t="s">
        <v>63</v>
      </c>
    </row>
    <row r="11" spans="1:1" s="38" customFormat="1">
      <c r="A11" s="38" t="s">
        <v>64</v>
      </c>
    </row>
    <row r="12" spans="1:1" s="38" customFormat="1">
      <c r="A12" s="38" t="s">
        <v>65</v>
      </c>
    </row>
    <row r="13" spans="1:1">
      <c r="A13" t="s">
        <v>66</v>
      </c>
    </row>
    <row r="14" spans="1:1">
      <c r="A14" t="s">
        <v>68</v>
      </c>
    </row>
    <row r="15" spans="1:1" s="38" customFormat="1">
      <c r="A15" s="38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  <row r="23" spans="1:1">
      <c r="A23" t="s">
        <v>77</v>
      </c>
    </row>
    <row r="24" spans="1:1">
      <c r="A24" t="s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0"/>
  <sheetViews>
    <sheetView topLeftCell="C40" zoomScale="105" workbookViewId="0">
      <selection activeCell="G42" sqref="G1:G1048576"/>
    </sheetView>
  </sheetViews>
  <sheetFormatPr defaultRowHeight="15"/>
  <cols>
    <col min="1" max="1" width="22" customWidth="1"/>
    <col min="2" max="2" width="28" customWidth="1"/>
    <col min="3" max="3" width="40" customWidth="1"/>
    <col min="4" max="7" width="10" customWidth="1"/>
    <col min="8" max="8" width="60" customWidth="1"/>
  </cols>
  <sheetData>
    <row r="1" spans="1:1" ht="18.75">
      <c r="A1" s="1" t="s">
        <v>103</v>
      </c>
    </row>
    <row r="3" spans="1:1">
      <c r="A3" t="s">
        <v>104</v>
      </c>
    </row>
    <row r="4" spans="1:1">
      <c r="A4" t="s">
        <v>105</v>
      </c>
    </row>
    <row r="5" spans="1:1">
      <c r="A5" t="s">
        <v>106</v>
      </c>
    </row>
    <row r="7" spans="1:1">
      <c r="A7" t="s">
        <v>107</v>
      </c>
    </row>
    <row r="8" spans="1:1">
      <c r="A8" t="s">
        <v>108</v>
      </c>
    </row>
    <row r="9" spans="1:1">
      <c r="A9" t="s">
        <v>109</v>
      </c>
    </row>
    <row r="10" spans="1:1">
      <c r="A10" t="s">
        <v>110</v>
      </c>
    </row>
    <row r="11" spans="1:1">
      <c r="A11" t="s">
        <v>111</v>
      </c>
    </row>
    <row r="12" spans="1:1">
      <c r="A12" t="s">
        <v>112</v>
      </c>
    </row>
    <row r="13" spans="1:1">
      <c r="A13" t="s">
        <v>113</v>
      </c>
    </row>
    <row r="15" spans="1:1">
      <c r="A15" t="s">
        <v>114</v>
      </c>
    </row>
    <row r="16" spans="1:1">
      <c r="A16" t="s">
        <v>115</v>
      </c>
    </row>
    <row r="17" spans="1:5">
      <c r="A17" t="s">
        <v>116</v>
      </c>
    </row>
    <row r="18" spans="1:5">
      <c r="A18" t="s">
        <v>117</v>
      </c>
    </row>
    <row r="20" spans="1:5">
      <c r="A20" t="s">
        <v>118</v>
      </c>
    </row>
    <row r="22" spans="1:5">
      <c r="A22" t="s">
        <v>119</v>
      </c>
    </row>
    <row r="23" spans="1:5">
      <c r="A23" t="s">
        <v>120</v>
      </c>
    </row>
    <row r="24" spans="1:5">
      <c r="A24" t="s">
        <v>121</v>
      </c>
    </row>
    <row r="25" spans="1:5">
      <c r="A25" t="s">
        <v>122</v>
      </c>
    </row>
    <row r="26" spans="1:5">
      <c r="A26" t="s">
        <v>123</v>
      </c>
    </row>
    <row r="27" spans="1:5">
      <c r="A27" t="s">
        <v>124</v>
      </c>
    </row>
    <row r="29" spans="1:5">
      <c r="A29" s="2" t="s">
        <v>125</v>
      </c>
      <c r="B29" s="2" t="s">
        <v>50</v>
      </c>
      <c r="C29" s="2" t="s">
        <v>80</v>
      </c>
      <c r="D29" s="2" t="s">
        <v>82</v>
      </c>
      <c r="E29" s="2" t="s">
        <v>126</v>
      </c>
    </row>
    <row r="30" spans="1:5">
      <c r="A30" t="s">
        <v>127</v>
      </c>
      <c r="B30">
        <v>0.1</v>
      </c>
      <c r="C30">
        <v>20</v>
      </c>
      <c r="D30">
        <v>40</v>
      </c>
      <c r="E30">
        <v>0</v>
      </c>
    </row>
    <row r="31" spans="1:5">
      <c r="A31" t="s">
        <v>128</v>
      </c>
      <c r="B31">
        <v>0.1</v>
      </c>
      <c r="C31">
        <v>50</v>
      </c>
      <c r="D31">
        <v>10</v>
      </c>
      <c r="E31">
        <v>3</v>
      </c>
    </row>
    <row r="32" spans="1:5">
      <c r="A32" t="s">
        <v>129</v>
      </c>
      <c r="B32">
        <v>0.1</v>
      </c>
      <c r="C32">
        <v>50</v>
      </c>
      <c r="D32">
        <v>90</v>
      </c>
      <c r="E32">
        <v>5</v>
      </c>
    </row>
    <row r="33" spans="1:8">
      <c r="A33" t="s">
        <v>130</v>
      </c>
      <c r="B33">
        <v>0.4</v>
      </c>
      <c r="C33">
        <v>50</v>
      </c>
      <c r="D33">
        <v>40</v>
      </c>
      <c r="E33">
        <v>15</v>
      </c>
    </row>
    <row r="34" spans="1:8">
      <c r="A34" t="s">
        <v>131</v>
      </c>
      <c r="B34">
        <v>0.1</v>
      </c>
      <c r="C34">
        <v>100</v>
      </c>
      <c r="D34">
        <v>10</v>
      </c>
      <c r="E34">
        <v>0</v>
      </c>
    </row>
    <row r="35" spans="1:8">
      <c r="A35" t="s">
        <v>132</v>
      </c>
      <c r="B35">
        <v>0.4</v>
      </c>
      <c r="C35">
        <v>100</v>
      </c>
      <c r="D35">
        <v>40</v>
      </c>
      <c r="E35">
        <v>17</v>
      </c>
    </row>
    <row r="36" spans="1:8">
      <c r="A36" t="s">
        <v>133</v>
      </c>
      <c r="B36">
        <v>0.4</v>
      </c>
      <c r="C36">
        <v>100</v>
      </c>
      <c r="D36">
        <v>90</v>
      </c>
      <c r="E36">
        <v>3</v>
      </c>
    </row>
    <row r="37" spans="1:8">
      <c r="A37" t="s">
        <v>134</v>
      </c>
      <c r="B37">
        <v>0.9</v>
      </c>
      <c r="C37">
        <v>100</v>
      </c>
      <c r="D37">
        <v>10</v>
      </c>
      <c r="E37">
        <v>11</v>
      </c>
    </row>
    <row r="38" spans="1:8">
      <c r="A38" t="s">
        <v>135</v>
      </c>
      <c r="B38">
        <v>0.9</v>
      </c>
      <c r="C38">
        <v>100</v>
      </c>
      <c r="D38">
        <v>90</v>
      </c>
      <c r="E38">
        <v>2</v>
      </c>
    </row>
    <row r="41" spans="1:8">
      <c r="A41" s="2" t="s">
        <v>136</v>
      </c>
    </row>
    <row r="42" spans="1:8">
      <c r="A42" s="3" t="s">
        <v>137</v>
      </c>
      <c r="B42" s="3" t="s">
        <v>138</v>
      </c>
      <c r="C42" s="3" t="s">
        <v>139</v>
      </c>
      <c r="D42" s="3" t="s">
        <v>140</v>
      </c>
      <c r="E42" s="3" t="s">
        <v>50</v>
      </c>
      <c r="F42" s="3" t="s">
        <v>80</v>
      </c>
      <c r="G42" s="3" t="s">
        <v>82</v>
      </c>
      <c r="H42" s="3" t="s">
        <v>141</v>
      </c>
    </row>
    <row r="43" spans="1:8">
      <c r="A43">
        <v>1</v>
      </c>
      <c r="B43" t="s">
        <v>53</v>
      </c>
      <c r="C43" t="s">
        <v>55</v>
      </c>
      <c r="D43" t="s">
        <v>132</v>
      </c>
      <c r="E43">
        <v>0.4</v>
      </c>
      <c r="F43">
        <v>100</v>
      </c>
      <c r="G43">
        <v>40</v>
      </c>
      <c r="H43" t="s">
        <v>142</v>
      </c>
    </row>
    <row r="44" spans="1:8">
      <c r="A44">
        <v>2</v>
      </c>
      <c r="B44" t="s">
        <v>55</v>
      </c>
      <c r="C44" t="s">
        <v>56</v>
      </c>
      <c r="D44" t="s">
        <v>132</v>
      </c>
      <c r="E44">
        <v>0.4</v>
      </c>
      <c r="F44">
        <v>100</v>
      </c>
      <c r="G44">
        <v>40</v>
      </c>
      <c r="H44" t="s">
        <v>143</v>
      </c>
    </row>
    <row r="45" spans="1:8">
      <c r="A45">
        <v>3</v>
      </c>
      <c r="B45" t="s">
        <v>56</v>
      </c>
      <c r="C45" t="s">
        <v>57</v>
      </c>
      <c r="D45" t="s">
        <v>134</v>
      </c>
      <c r="E45">
        <v>0.9</v>
      </c>
      <c r="F45">
        <v>100</v>
      </c>
      <c r="G45">
        <v>10</v>
      </c>
      <c r="H45" t="s">
        <v>144</v>
      </c>
    </row>
    <row r="46" spans="1:8">
      <c r="A46">
        <v>4</v>
      </c>
      <c r="B46" t="s">
        <v>58</v>
      </c>
      <c r="C46" t="s">
        <v>59</v>
      </c>
      <c r="D46" t="s">
        <v>132</v>
      </c>
      <c r="E46">
        <v>0.4</v>
      </c>
      <c r="F46">
        <v>100</v>
      </c>
      <c r="G46">
        <v>40</v>
      </c>
      <c r="H46" t="s">
        <v>142</v>
      </c>
    </row>
    <row r="47" spans="1:8">
      <c r="A47">
        <v>5</v>
      </c>
      <c r="B47" t="s">
        <v>59</v>
      </c>
      <c r="C47" t="s">
        <v>60</v>
      </c>
      <c r="D47" t="s">
        <v>132</v>
      </c>
      <c r="E47">
        <v>0.4</v>
      </c>
      <c r="F47">
        <v>100</v>
      </c>
      <c r="G47">
        <v>40</v>
      </c>
      <c r="H47" t="s">
        <v>145</v>
      </c>
    </row>
    <row r="48" spans="1:8">
      <c r="A48">
        <v>6</v>
      </c>
      <c r="B48" t="s">
        <v>60</v>
      </c>
      <c r="C48" t="s">
        <v>61</v>
      </c>
      <c r="D48" t="s">
        <v>134</v>
      </c>
      <c r="E48">
        <v>0.9</v>
      </c>
      <c r="F48">
        <v>100</v>
      </c>
      <c r="G48">
        <v>10</v>
      </c>
      <c r="H48" t="s">
        <v>144</v>
      </c>
    </row>
    <row r="49" spans="1:8">
      <c r="A49">
        <v>7</v>
      </c>
      <c r="B49" t="s">
        <v>66</v>
      </c>
      <c r="C49" t="s">
        <v>68</v>
      </c>
      <c r="D49" t="s">
        <v>132</v>
      </c>
      <c r="E49">
        <v>0.4</v>
      </c>
      <c r="F49">
        <v>100</v>
      </c>
      <c r="G49">
        <v>40</v>
      </c>
      <c r="H49" t="s">
        <v>146</v>
      </c>
    </row>
    <row r="50" spans="1:8">
      <c r="A50">
        <v>8</v>
      </c>
      <c r="B50" t="s">
        <v>68</v>
      </c>
      <c r="C50" t="s">
        <v>70</v>
      </c>
      <c r="D50" t="s">
        <v>132</v>
      </c>
      <c r="E50">
        <v>0.4</v>
      </c>
      <c r="F50">
        <v>100</v>
      </c>
      <c r="G50">
        <v>40</v>
      </c>
      <c r="H50" t="s">
        <v>147</v>
      </c>
    </row>
    <row r="51" spans="1:8">
      <c r="A51">
        <v>9</v>
      </c>
      <c r="B51" t="s">
        <v>71</v>
      </c>
      <c r="C51" t="s">
        <v>72</v>
      </c>
      <c r="D51" t="s">
        <v>134</v>
      </c>
      <c r="E51">
        <v>0.9</v>
      </c>
      <c r="F51">
        <v>100</v>
      </c>
      <c r="G51">
        <v>10</v>
      </c>
      <c r="H51" t="s">
        <v>148</v>
      </c>
    </row>
    <row r="52" spans="1:8">
      <c r="A52">
        <v>10</v>
      </c>
      <c r="B52" t="s">
        <v>72</v>
      </c>
      <c r="C52" t="s">
        <v>73</v>
      </c>
      <c r="D52" t="s">
        <v>130</v>
      </c>
      <c r="E52">
        <v>0.4</v>
      </c>
      <c r="F52">
        <v>50</v>
      </c>
      <c r="G52">
        <v>40</v>
      </c>
      <c r="H52" t="s">
        <v>149</v>
      </c>
    </row>
    <row r="53" spans="1:8">
      <c r="A53">
        <v>11</v>
      </c>
      <c r="B53" t="s">
        <v>74</v>
      </c>
      <c r="C53" t="s">
        <v>75</v>
      </c>
      <c r="D53" t="s">
        <v>134</v>
      </c>
      <c r="E53">
        <v>0.9</v>
      </c>
      <c r="F53">
        <v>100</v>
      </c>
      <c r="G53">
        <v>10</v>
      </c>
      <c r="H53" t="s">
        <v>150</v>
      </c>
    </row>
    <row r="54" spans="1:8">
      <c r="A54">
        <v>12</v>
      </c>
      <c r="B54" t="s">
        <v>75</v>
      </c>
      <c r="C54" t="s">
        <v>76</v>
      </c>
      <c r="D54" t="s">
        <v>134</v>
      </c>
      <c r="E54">
        <v>0.9</v>
      </c>
      <c r="F54">
        <v>100</v>
      </c>
      <c r="G54">
        <v>10</v>
      </c>
      <c r="H54" t="s">
        <v>151</v>
      </c>
    </row>
    <row r="55" spans="1:8">
      <c r="A55">
        <v>13</v>
      </c>
      <c r="B55" t="s">
        <v>76</v>
      </c>
      <c r="C55" t="s">
        <v>77</v>
      </c>
      <c r="D55" t="s">
        <v>132</v>
      </c>
      <c r="E55">
        <v>0.4</v>
      </c>
      <c r="F55">
        <v>100</v>
      </c>
      <c r="G55">
        <v>40</v>
      </c>
      <c r="H55" t="s">
        <v>152</v>
      </c>
    </row>
    <row r="56" spans="1:8">
      <c r="A56">
        <v>14</v>
      </c>
      <c r="B56" t="s">
        <v>53</v>
      </c>
      <c r="C56" t="s">
        <v>153</v>
      </c>
      <c r="D56" t="s">
        <v>130</v>
      </c>
      <c r="E56">
        <v>0.4</v>
      </c>
      <c r="F56">
        <v>50</v>
      </c>
      <c r="G56">
        <v>40</v>
      </c>
      <c r="H56" t="s">
        <v>154</v>
      </c>
    </row>
    <row r="57" spans="1:8">
      <c r="A57">
        <v>15</v>
      </c>
      <c r="B57" t="s">
        <v>55</v>
      </c>
      <c r="C57" t="s">
        <v>153</v>
      </c>
      <c r="D57" t="s">
        <v>130</v>
      </c>
      <c r="E57">
        <v>0.4</v>
      </c>
      <c r="F57">
        <v>50</v>
      </c>
      <c r="G57">
        <v>40</v>
      </c>
      <c r="H57" t="s">
        <v>155</v>
      </c>
    </row>
    <row r="58" spans="1:8">
      <c r="A58">
        <v>16</v>
      </c>
      <c r="B58" t="s">
        <v>56</v>
      </c>
      <c r="C58" t="s">
        <v>153</v>
      </c>
      <c r="D58" t="s">
        <v>132</v>
      </c>
      <c r="E58">
        <v>0.4</v>
      </c>
      <c r="F58">
        <v>100</v>
      </c>
      <c r="G58">
        <v>40</v>
      </c>
      <c r="H58" t="s">
        <v>156</v>
      </c>
    </row>
    <row r="59" spans="1:8">
      <c r="A59">
        <v>17</v>
      </c>
      <c r="B59" t="s">
        <v>57</v>
      </c>
      <c r="C59" t="s">
        <v>153</v>
      </c>
      <c r="D59" t="s">
        <v>134</v>
      </c>
      <c r="E59">
        <v>0.9</v>
      </c>
      <c r="F59">
        <v>100</v>
      </c>
      <c r="G59">
        <v>10</v>
      </c>
      <c r="H59" t="s">
        <v>157</v>
      </c>
    </row>
    <row r="60" spans="1:8">
      <c r="A60">
        <v>18</v>
      </c>
      <c r="B60" t="s">
        <v>58</v>
      </c>
      <c r="C60" t="s">
        <v>158</v>
      </c>
      <c r="D60" t="s">
        <v>130</v>
      </c>
      <c r="E60">
        <v>0.4</v>
      </c>
      <c r="F60">
        <v>50</v>
      </c>
      <c r="G60">
        <v>40</v>
      </c>
      <c r="H60" t="s">
        <v>159</v>
      </c>
    </row>
    <row r="61" spans="1:8">
      <c r="A61">
        <v>19</v>
      </c>
      <c r="B61" t="s">
        <v>59</v>
      </c>
      <c r="C61" t="s">
        <v>158</v>
      </c>
      <c r="D61" t="s">
        <v>130</v>
      </c>
      <c r="E61">
        <v>0.4</v>
      </c>
      <c r="F61">
        <v>50</v>
      </c>
      <c r="G61">
        <v>40</v>
      </c>
      <c r="H61" t="s">
        <v>155</v>
      </c>
    </row>
    <row r="62" spans="1:8">
      <c r="A62">
        <v>20</v>
      </c>
      <c r="B62" t="s">
        <v>60</v>
      </c>
      <c r="C62" t="s">
        <v>158</v>
      </c>
      <c r="D62" t="s">
        <v>132</v>
      </c>
      <c r="E62">
        <v>0.4</v>
      </c>
      <c r="F62">
        <v>100</v>
      </c>
      <c r="G62">
        <v>40</v>
      </c>
      <c r="H62" t="s">
        <v>160</v>
      </c>
    </row>
    <row r="63" spans="1:8">
      <c r="A63">
        <v>21</v>
      </c>
      <c r="B63" t="s">
        <v>61</v>
      </c>
      <c r="C63" t="s">
        <v>158</v>
      </c>
      <c r="D63" t="s">
        <v>134</v>
      </c>
      <c r="E63">
        <v>0.9</v>
      </c>
      <c r="F63">
        <v>100</v>
      </c>
      <c r="G63">
        <v>10</v>
      </c>
      <c r="H63" t="s">
        <v>157</v>
      </c>
    </row>
    <row r="64" spans="1:8">
      <c r="A64">
        <v>22</v>
      </c>
      <c r="B64" t="s">
        <v>66</v>
      </c>
      <c r="C64" t="s">
        <v>161</v>
      </c>
      <c r="D64" t="s">
        <v>130</v>
      </c>
      <c r="E64">
        <v>0.4</v>
      </c>
      <c r="F64">
        <v>50</v>
      </c>
      <c r="G64">
        <v>40</v>
      </c>
      <c r="H64" t="s">
        <v>162</v>
      </c>
    </row>
    <row r="65" spans="1:8">
      <c r="A65">
        <v>23</v>
      </c>
      <c r="B65" t="s">
        <v>68</v>
      </c>
      <c r="C65" t="s">
        <v>161</v>
      </c>
      <c r="D65" t="s">
        <v>132</v>
      </c>
      <c r="E65">
        <v>0.4</v>
      </c>
      <c r="F65">
        <v>100</v>
      </c>
      <c r="G65">
        <v>40</v>
      </c>
      <c r="H65" t="s">
        <v>163</v>
      </c>
    </row>
    <row r="66" spans="1:8">
      <c r="A66">
        <v>24</v>
      </c>
      <c r="B66" t="s">
        <v>70</v>
      </c>
      <c r="C66" t="s">
        <v>161</v>
      </c>
      <c r="D66" t="s">
        <v>134</v>
      </c>
      <c r="E66">
        <v>0.9</v>
      </c>
      <c r="F66">
        <v>100</v>
      </c>
      <c r="G66">
        <v>10</v>
      </c>
      <c r="H66" t="s">
        <v>164</v>
      </c>
    </row>
    <row r="67" spans="1:8">
      <c r="A67">
        <v>25</v>
      </c>
      <c r="B67" t="s">
        <v>71</v>
      </c>
      <c r="C67" t="s">
        <v>165</v>
      </c>
      <c r="D67" t="s">
        <v>130</v>
      </c>
      <c r="E67">
        <v>0.4</v>
      </c>
      <c r="F67">
        <v>50</v>
      </c>
      <c r="G67">
        <v>40</v>
      </c>
      <c r="H67" t="s">
        <v>166</v>
      </c>
    </row>
    <row r="68" spans="1:8">
      <c r="A68">
        <v>26</v>
      </c>
      <c r="B68" t="s">
        <v>72</v>
      </c>
      <c r="C68" t="s">
        <v>165</v>
      </c>
      <c r="D68" t="s">
        <v>132</v>
      </c>
      <c r="E68">
        <v>0.4</v>
      </c>
      <c r="F68">
        <v>100</v>
      </c>
      <c r="G68">
        <v>40</v>
      </c>
      <c r="H68" t="s">
        <v>167</v>
      </c>
    </row>
    <row r="69" spans="1:8">
      <c r="A69">
        <v>27</v>
      </c>
      <c r="B69" t="s">
        <v>73</v>
      </c>
      <c r="C69" t="s">
        <v>165</v>
      </c>
      <c r="D69" t="s">
        <v>134</v>
      </c>
      <c r="E69">
        <v>0.9</v>
      </c>
      <c r="F69">
        <v>100</v>
      </c>
      <c r="G69">
        <v>10</v>
      </c>
      <c r="H69" t="s">
        <v>168</v>
      </c>
    </row>
    <row r="70" spans="1:8">
      <c r="A70">
        <v>28</v>
      </c>
      <c r="B70" t="s">
        <v>74</v>
      </c>
      <c r="C70" t="s">
        <v>169</v>
      </c>
      <c r="D70" t="s">
        <v>130</v>
      </c>
      <c r="E70">
        <v>0.4</v>
      </c>
      <c r="F70">
        <v>50</v>
      </c>
      <c r="G70">
        <v>40</v>
      </c>
      <c r="H70" t="s">
        <v>170</v>
      </c>
    </row>
    <row r="71" spans="1:8">
      <c r="A71">
        <v>29</v>
      </c>
      <c r="B71" t="s">
        <v>75</v>
      </c>
      <c r="C71" t="s">
        <v>169</v>
      </c>
      <c r="D71" t="s">
        <v>130</v>
      </c>
      <c r="E71">
        <v>0.4</v>
      </c>
      <c r="F71">
        <v>50</v>
      </c>
      <c r="G71">
        <v>40</v>
      </c>
      <c r="H71" t="s">
        <v>171</v>
      </c>
    </row>
    <row r="72" spans="1:8">
      <c r="A72">
        <v>30</v>
      </c>
      <c r="B72" t="s">
        <v>76</v>
      </c>
      <c r="C72" t="s">
        <v>169</v>
      </c>
      <c r="D72" t="s">
        <v>132</v>
      </c>
      <c r="E72">
        <v>0.4</v>
      </c>
      <c r="F72">
        <v>100</v>
      </c>
      <c r="G72">
        <v>40</v>
      </c>
      <c r="H72" t="s">
        <v>172</v>
      </c>
    </row>
    <row r="73" spans="1:8">
      <c r="A73">
        <v>31</v>
      </c>
      <c r="B73" t="s">
        <v>77</v>
      </c>
      <c r="C73" t="s">
        <v>169</v>
      </c>
      <c r="D73" t="s">
        <v>134</v>
      </c>
      <c r="E73">
        <v>0.9</v>
      </c>
      <c r="F73">
        <v>100</v>
      </c>
      <c r="G73">
        <v>10</v>
      </c>
      <c r="H73" t="s">
        <v>173</v>
      </c>
    </row>
    <row r="74" spans="1:8">
      <c r="A74">
        <v>32</v>
      </c>
      <c r="B74" t="s">
        <v>78</v>
      </c>
      <c r="C74" t="s">
        <v>174</v>
      </c>
      <c r="D74" t="s">
        <v>135</v>
      </c>
      <c r="E74">
        <v>0.9</v>
      </c>
      <c r="F74">
        <v>100</v>
      </c>
      <c r="G74">
        <v>90</v>
      </c>
      <c r="H74" t="s">
        <v>175</v>
      </c>
    </row>
    <row r="75" spans="1:8">
      <c r="A75">
        <v>33</v>
      </c>
      <c r="B75" t="s">
        <v>72</v>
      </c>
      <c r="C75" t="s">
        <v>53</v>
      </c>
      <c r="D75" t="s">
        <v>130</v>
      </c>
      <c r="E75">
        <v>0.4</v>
      </c>
      <c r="F75">
        <v>50</v>
      </c>
      <c r="G75">
        <v>40</v>
      </c>
      <c r="H75" t="s">
        <v>176</v>
      </c>
    </row>
    <row r="76" spans="1:8">
      <c r="A76">
        <v>34</v>
      </c>
      <c r="B76" t="s">
        <v>72</v>
      </c>
      <c r="C76" t="s">
        <v>58</v>
      </c>
      <c r="D76" t="s">
        <v>130</v>
      </c>
      <c r="E76">
        <v>0.4</v>
      </c>
      <c r="F76">
        <v>50</v>
      </c>
      <c r="G76">
        <v>40</v>
      </c>
      <c r="H76" t="s">
        <v>176</v>
      </c>
    </row>
    <row r="77" spans="1:8">
      <c r="A77">
        <v>35</v>
      </c>
      <c r="B77" t="s">
        <v>72</v>
      </c>
      <c r="C77" t="s">
        <v>74</v>
      </c>
      <c r="D77" t="s">
        <v>132</v>
      </c>
      <c r="E77">
        <v>0.4</v>
      </c>
      <c r="F77">
        <v>100</v>
      </c>
      <c r="G77">
        <v>40</v>
      </c>
      <c r="H77" t="s">
        <v>177</v>
      </c>
    </row>
    <row r="78" spans="1:8">
      <c r="A78">
        <v>36</v>
      </c>
      <c r="B78" t="s">
        <v>73</v>
      </c>
      <c r="C78" t="s">
        <v>153</v>
      </c>
      <c r="D78" t="s">
        <v>133</v>
      </c>
      <c r="E78">
        <v>0.4</v>
      </c>
      <c r="F78">
        <v>100</v>
      </c>
      <c r="G78">
        <v>90</v>
      </c>
      <c r="H78" t="s">
        <v>178</v>
      </c>
    </row>
    <row r="79" spans="1:8">
      <c r="A79">
        <v>37</v>
      </c>
      <c r="B79" t="s">
        <v>73</v>
      </c>
      <c r="C79" t="s">
        <v>158</v>
      </c>
      <c r="D79" t="s">
        <v>133</v>
      </c>
      <c r="E79">
        <v>0.4</v>
      </c>
      <c r="F79">
        <v>100</v>
      </c>
      <c r="G79">
        <v>90</v>
      </c>
      <c r="H79" t="s">
        <v>179</v>
      </c>
    </row>
    <row r="80" spans="1:8">
      <c r="A80">
        <v>38</v>
      </c>
      <c r="B80" t="s">
        <v>76</v>
      </c>
      <c r="C80" t="s">
        <v>56</v>
      </c>
      <c r="D80" t="s">
        <v>129</v>
      </c>
      <c r="E80">
        <v>0.1</v>
      </c>
      <c r="F80">
        <v>50</v>
      </c>
      <c r="G80">
        <v>90</v>
      </c>
      <c r="H80" t="s">
        <v>180</v>
      </c>
    </row>
    <row r="81" spans="1:8">
      <c r="A81">
        <v>39</v>
      </c>
      <c r="B81" t="s">
        <v>76</v>
      </c>
      <c r="C81" t="s">
        <v>60</v>
      </c>
      <c r="D81" t="s">
        <v>129</v>
      </c>
      <c r="E81">
        <v>0.1</v>
      </c>
      <c r="F81">
        <v>50</v>
      </c>
      <c r="G81">
        <v>90</v>
      </c>
      <c r="H81" t="s">
        <v>181</v>
      </c>
    </row>
    <row r="82" spans="1:8">
      <c r="A82">
        <v>40</v>
      </c>
      <c r="B82" t="s">
        <v>75</v>
      </c>
      <c r="C82" t="s">
        <v>55</v>
      </c>
      <c r="D82" t="s">
        <v>129</v>
      </c>
      <c r="E82">
        <v>0.1</v>
      </c>
      <c r="F82">
        <v>50</v>
      </c>
      <c r="G82">
        <v>90</v>
      </c>
      <c r="H82" t="s">
        <v>182</v>
      </c>
    </row>
    <row r="83" spans="1:8">
      <c r="A83">
        <v>41</v>
      </c>
      <c r="B83" t="s">
        <v>75</v>
      </c>
      <c r="C83" t="s">
        <v>59</v>
      </c>
      <c r="D83" t="s">
        <v>129</v>
      </c>
      <c r="E83">
        <v>0.1</v>
      </c>
      <c r="F83">
        <v>50</v>
      </c>
      <c r="G83">
        <v>90</v>
      </c>
      <c r="H83" t="s">
        <v>182</v>
      </c>
    </row>
    <row r="84" spans="1:8">
      <c r="A84">
        <v>42</v>
      </c>
      <c r="B84" t="s">
        <v>75</v>
      </c>
      <c r="C84" t="s">
        <v>68</v>
      </c>
      <c r="D84" t="s">
        <v>129</v>
      </c>
      <c r="E84">
        <v>0.1</v>
      </c>
      <c r="F84">
        <v>50</v>
      </c>
      <c r="G84">
        <v>90</v>
      </c>
      <c r="H84" t="s">
        <v>183</v>
      </c>
    </row>
    <row r="85" spans="1:8">
      <c r="A85">
        <v>43</v>
      </c>
      <c r="B85" t="s">
        <v>77</v>
      </c>
      <c r="C85" t="s">
        <v>165</v>
      </c>
      <c r="D85" t="s">
        <v>132</v>
      </c>
      <c r="E85">
        <v>0.4</v>
      </c>
      <c r="F85">
        <v>100</v>
      </c>
      <c r="G85">
        <v>40</v>
      </c>
      <c r="H85" t="s">
        <v>184</v>
      </c>
    </row>
    <row r="86" spans="1:8">
      <c r="A86">
        <v>44</v>
      </c>
      <c r="B86" t="s">
        <v>66</v>
      </c>
      <c r="C86" t="s">
        <v>53</v>
      </c>
      <c r="D86" t="s">
        <v>128</v>
      </c>
      <c r="E86">
        <v>0.1</v>
      </c>
      <c r="F86">
        <v>50</v>
      </c>
      <c r="G86">
        <v>10</v>
      </c>
      <c r="H86" t="s">
        <v>185</v>
      </c>
    </row>
    <row r="87" spans="1:8">
      <c r="A87">
        <v>45</v>
      </c>
      <c r="B87" t="s">
        <v>66</v>
      </c>
      <c r="C87" t="s">
        <v>58</v>
      </c>
      <c r="D87" t="s">
        <v>128</v>
      </c>
      <c r="E87">
        <v>0.1</v>
      </c>
      <c r="F87">
        <v>50</v>
      </c>
      <c r="G87">
        <v>10</v>
      </c>
      <c r="H87" t="s">
        <v>185</v>
      </c>
    </row>
    <row r="88" spans="1:8">
      <c r="A88">
        <v>46</v>
      </c>
      <c r="B88" t="s">
        <v>68</v>
      </c>
      <c r="C88" t="s">
        <v>56</v>
      </c>
      <c r="D88" t="s">
        <v>130</v>
      </c>
      <c r="E88">
        <v>0.4</v>
      </c>
      <c r="F88">
        <v>50</v>
      </c>
      <c r="G88">
        <v>40</v>
      </c>
      <c r="H88" t="s">
        <v>186</v>
      </c>
    </row>
    <row r="89" spans="1:8">
      <c r="A89">
        <v>47</v>
      </c>
      <c r="B89" t="s">
        <v>68</v>
      </c>
      <c r="C89" t="s">
        <v>60</v>
      </c>
      <c r="D89" t="s">
        <v>130</v>
      </c>
      <c r="E89">
        <v>0.4</v>
      </c>
      <c r="F89">
        <v>50</v>
      </c>
      <c r="G89">
        <v>40</v>
      </c>
      <c r="H89" t="s">
        <v>186</v>
      </c>
    </row>
    <row r="90" spans="1:8">
      <c r="A90">
        <v>48</v>
      </c>
      <c r="B90" t="s">
        <v>70</v>
      </c>
      <c r="C90" t="s">
        <v>153</v>
      </c>
      <c r="D90" t="s">
        <v>132</v>
      </c>
      <c r="E90">
        <v>0.4</v>
      </c>
      <c r="F90">
        <v>100</v>
      </c>
      <c r="G90">
        <v>40</v>
      </c>
      <c r="H90" t="s">
        <v>187</v>
      </c>
    </row>
    <row r="91" spans="1:8">
      <c r="A91">
        <v>49</v>
      </c>
      <c r="B91" t="s">
        <v>70</v>
      </c>
      <c r="C91" t="s">
        <v>158</v>
      </c>
      <c r="D91" t="s">
        <v>132</v>
      </c>
      <c r="E91">
        <v>0.4</v>
      </c>
      <c r="F91">
        <v>100</v>
      </c>
      <c r="G91">
        <v>40</v>
      </c>
      <c r="H91" t="s">
        <v>187</v>
      </c>
    </row>
    <row r="92" spans="1:8">
      <c r="A92">
        <v>50</v>
      </c>
      <c r="B92" t="s">
        <v>70</v>
      </c>
      <c r="C92" t="s">
        <v>78</v>
      </c>
      <c r="D92" t="s">
        <v>130</v>
      </c>
      <c r="E92">
        <v>0.4</v>
      </c>
      <c r="F92">
        <v>50</v>
      </c>
      <c r="G92">
        <v>40</v>
      </c>
      <c r="H92" t="s">
        <v>188</v>
      </c>
    </row>
    <row r="93" spans="1:8">
      <c r="A93">
        <v>51</v>
      </c>
      <c r="B93" t="s">
        <v>57</v>
      </c>
      <c r="C93" t="s">
        <v>70</v>
      </c>
      <c r="D93" t="s">
        <v>135</v>
      </c>
      <c r="E93">
        <v>0.9</v>
      </c>
      <c r="F93">
        <v>100</v>
      </c>
      <c r="G93">
        <v>90</v>
      </c>
      <c r="H93" t="s">
        <v>189</v>
      </c>
    </row>
    <row r="94" spans="1:8">
      <c r="A94">
        <v>52</v>
      </c>
      <c r="B94" t="s">
        <v>61</v>
      </c>
      <c r="C94" t="s">
        <v>70</v>
      </c>
      <c r="D94" t="s">
        <v>128</v>
      </c>
      <c r="E94">
        <v>0.1</v>
      </c>
      <c r="F94">
        <v>50</v>
      </c>
      <c r="G94">
        <v>10</v>
      </c>
      <c r="H94" t="s">
        <v>190</v>
      </c>
    </row>
    <row r="95" spans="1:8">
      <c r="A95">
        <v>53</v>
      </c>
      <c r="B95" t="s">
        <v>56</v>
      </c>
      <c r="C95" t="s">
        <v>78</v>
      </c>
      <c r="D95" t="s">
        <v>132</v>
      </c>
      <c r="E95">
        <v>0.4</v>
      </c>
      <c r="F95">
        <v>100</v>
      </c>
      <c r="G95">
        <v>40</v>
      </c>
      <c r="H95" t="s">
        <v>191</v>
      </c>
    </row>
    <row r="96" spans="1:8">
      <c r="A96">
        <v>54</v>
      </c>
      <c r="B96" t="s">
        <v>60</v>
      </c>
      <c r="C96" t="s">
        <v>78</v>
      </c>
      <c r="D96" t="s">
        <v>133</v>
      </c>
      <c r="E96">
        <v>0.4</v>
      </c>
      <c r="F96">
        <v>100</v>
      </c>
      <c r="G96">
        <v>90</v>
      </c>
      <c r="H96" t="s">
        <v>192</v>
      </c>
    </row>
    <row r="97" spans="1:8">
      <c r="A97">
        <v>55</v>
      </c>
      <c r="B97" t="s">
        <v>61</v>
      </c>
      <c r="C97" t="s">
        <v>78</v>
      </c>
      <c r="D97" t="s">
        <v>134</v>
      </c>
      <c r="E97">
        <v>0.9</v>
      </c>
      <c r="F97">
        <v>100</v>
      </c>
      <c r="G97">
        <v>10</v>
      </c>
      <c r="H97" t="s">
        <v>193</v>
      </c>
    </row>
    <row r="98" spans="1:8">
      <c r="A98">
        <v>56</v>
      </c>
      <c r="B98" t="s">
        <v>57</v>
      </c>
      <c r="C98" t="s">
        <v>78</v>
      </c>
      <c r="D98" t="s">
        <v>130</v>
      </c>
      <c r="E98">
        <v>0.4</v>
      </c>
      <c r="F98">
        <v>50</v>
      </c>
      <c r="G98">
        <v>40</v>
      </c>
      <c r="H98" t="s">
        <v>194</v>
      </c>
    </row>
    <row r="101" spans="1:8">
      <c r="A101" s="2" t="s">
        <v>195</v>
      </c>
    </row>
    <row r="102" spans="1:8">
      <c r="A102" s="3" t="s">
        <v>137</v>
      </c>
      <c r="B102" s="3" t="s">
        <v>196</v>
      </c>
      <c r="C102" s="3" t="s">
        <v>197</v>
      </c>
      <c r="D102" s="3" t="s">
        <v>198</v>
      </c>
      <c r="E102" s="3" t="s">
        <v>199</v>
      </c>
    </row>
    <row r="103" spans="1:8">
      <c r="A103">
        <v>1</v>
      </c>
      <c r="B103" t="s">
        <v>53</v>
      </c>
      <c r="C103" t="s">
        <v>200</v>
      </c>
      <c r="D103">
        <v>90</v>
      </c>
      <c r="E103" t="s">
        <v>153</v>
      </c>
    </row>
    <row r="104" spans="1:8">
      <c r="A104">
        <v>2</v>
      </c>
      <c r="B104" t="s">
        <v>55</v>
      </c>
      <c r="C104" t="s">
        <v>201</v>
      </c>
      <c r="D104">
        <v>90</v>
      </c>
      <c r="E104" t="s">
        <v>153</v>
      </c>
    </row>
    <row r="105" spans="1:8">
      <c r="A105">
        <v>3</v>
      </c>
      <c r="B105" t="s">
        <v>56</v>
      </c>
      <c r="C105" t="s">
        <v>202</v>
      </c>
      <c r="D105">
        <v>90</v>
      </c>
      <c r="E105" t="s">
        <v>153</v>
      </c>
    </row>
    <row r="106" spans="1:8">
      <c r="A106">
        <v>4</v>
      </c>
      <c r="B106" t="s">
        <v>57</v>
      </c>
      <c r="C106" t="s">
        <v>203</v>
      </c>
      <c r="D106">
        <v>90</v>
      </c>
      <c r="E106" t="s">
        <v>153</v>
      </c>
    </row>
    <row r="107" spans="1:8">
      <c r="A107">
        <v>5</v>
      </c>
      <c r="B107" t="s">
        <v>153</v>
      </c>
      <c r="C107" t="s">
        <v>204</v>
      </c>
      <c r="D107">
        <v>90</v>
      </c>
      <c r="E107" t="s">
        <v>153</v>
      </c>
    </row>
    <row r="108" spans="1:8">
      <c r="A108">
        <v>6</v>
      </c>
      <c r="B108" t="s">
        <v>58</v>
      </c>
      <c r="C108" t="s">
        <v>205</v>
      </c>
      <c r="D108">
        <v>90</v>
      </c>
      <c r="E108" t="s">
        <v>158</v>
      </c>
    </row>
    <row r="109" spans="1:8">
      <c r="A109">
        <v>7</v>
      </c>
      <c r="B109" t="s">
        <v>59</v>
      </c>
      <c r="C109" t="s">
        <v>206</v>
      </c>
      <c r="D109">
        <v>90</v>
      </c>
      <c r="E109" t="s">
        <v>158</v>
      </c>
    </row>
    <row r="110" spans="1:8">
      <c r="A110">
        <v>8</v>
      </c>
      <c r="B110" t="s">
        <v>60</v>
      </c>
      <c r="C110" t="s">
        <v>207</v>
      </c>
      <c r="D110">
        <v>90</v>
      </c>
      <c r="E110" t="s">
        <v>158</v>
      </c>
    </row>
    <row r="111" spans="1:8">
      <c r="A111">
        <v>9</v>
      </c>
      <c r="B111" t="s">
        <v>61</v>
      </c>
      <c r="C111" t="s">
        <v>208</v>
      </c>
      <c r="D111">
        <v>90</v>
      </c>
      <c r="E111" t="s">
        <v>158</v>
      </c>
    </row>
    <row r="112" spans="1:8">
      <c r="A112">
        <v>10</v>
      </c>
      <c r="B112" t="s">
        <v>158</v>
      </c>
      <c r="C112" t="s">
        <v>209</v>
      </c>
      <c r="D112">
        <v>90</v>
      </c>
      <c r="E112" t="s">
        <v>158</v>
      </c>
    </row>
    <row r="113" spans="1:5">
      <c r="A113">
        <v>11</v>
      </c>
      <c r="B113" t="s">
        <v>66</v>
      </c>
      <c r="C113" t="s">
        <v>210</v>
      </c>
      <c r="D113">
        <v>80</v>
      </c>
      <c r="E113" t="s">
        <v>161</v>
      </c>
    </row>
    <row r="114" spans="1:5">
      <c r="A114">
        <v>12</v>
      </c>
      <c r="B114" t="s">
        <v>68</v>
      </c>
      <c r="C114" t="s">
        <v>211</v>
      </c>
      <c r="D114">
        <v>80</v>
      </c>
      <c r="E114" t="s">
        <v>161</v>
      </c>
    </row>
    <row r="115" spans="1:5">
      <c r="A115">
        <v>13</v>
      </c>
      <c r="B115" t="s">
        <v>70</v>
      </c>
      <c r="C115" t="s">
        <v>212</v>
      </c>
      <c r="D115">
        <v>80</v>
      </c>
      <c r="E115" t="s">
        <v>161</v>
      </c>
    </row>
    <row r="116" spans="1:5">
      <c r="A116">
        <v>14</v>
      </c>
      <c r="B116" t="s">
        <v>161</v>
      </c>
      <c r="C116" t="s">
        <v>213</v>
      </c>
      <c r="D116">
        <v>80</v>
      </c>
      <c r="E116" t="s">
        <v>161</v>
      </c>
    </row>
    <row r="117" spans="1:5">
      <c r="A117">
        <v>15</v>
      </c>
      <c r="B117" t="s">
        <v>71</v>
      </c>
      <c r="C117" t="s">
        <v>214</v>
      </c>
      <c r="D117">
        <v>85</v>
      </c>
      <c r="E117" t="s">
        <v>165</v>
      </c>
    </row>
    <row r="118" spans="1:5">
      <c r="A118">
        <v>16</v>
      </c>
      <c r="B118" t="s">
        <v>72</v>
      </c>
      <c r="C118" t="s">
        <v>215</v>
      </c>
      <c r="D118">
        <v>85</v>
      </c>
      <c r="E118" t="s">
        <v>165</v>
      </c>
    </row>
    <row r="119" spans="1:5">
      <c r="A119">
        <v>17</v>
      </c>
      <c r="B119" t="s">
        <v>73</v>
      </c>
      <c r="C119" t="s">
        <v>216</v>
      </c>
      <c r="D119">
        <v>85</v>
      </c>
      <c r="E119" t="s">
        <v>165</v>
      </c>
    </row>
    <row r="120" spans="1:5">
      <c r="A120">
        <v>18</v>
      </c>
      <c r="B120" t="s">
        <v>165</v>
      </c>
      <c r="C120" t="s">
        <v>217</v>
      </c>
      <c r="D120">
        <v>85</v>
      </c>
      <c r="E120" t="s">
        <v>165</v>
      </c>
    </row>
    <row r="121" spans="1:5">
      <c r="A121">
        <v>19</v>
      </c>
      <c r="B121" t="s">
        <v>74</v>
      </c>
      <c r="C121" t="s">
        <v>218</v>
      </c>
      <c r="D121">
        <v>95</v>
      </c>
      <c r="E121" t="s">
        <v>169</v>
      </c>
    </row>
    <row r="122" spans="1:5">
      <c r="A122">
        <v>20</v>
      </c>
      <c r="B122" t="s">
        <v>75</v>
      </c>
      <c r="C122" t="s">
        <v>219</v>
      </c>
      <c r="D122">
        <v>95</v>
      </c>
      <c r="E122" t="s">
        <v>169</v>
      </c>
    </row>
    <row r="123" spans="1:5">
      <c r="A123">
        <v>21</v>
      </c>
      <c r="B123" t="s">
        <v>76</v>
      </c>
      <c r="C123" t="s">
        <v>220</v>
      </c>
      <c r="D123">
        <v>95</v>
      </c>
      <c r="E123" t="s">
        <v>169</v>
      </c>
    </row>
    <row r="124" spans="1:5">
      <c r="A124">
        <v>22</v>
      </c>
      <c r="B124" t="s">
        <v>77</v>
      </c>
      <c r="C124" t="s">
        <v>221</v>
      </c>
      <c r="D124">
        <v>95</v>
      </c>
      <c r="E124" t="s">
        <v>169</v>
      </c>
    </row>
    <row r="125" spans="1:5">
      <c r="A125">
        <v>23</v>
      </c>
      <c r="B125" t="s">
        <v>169</v>
      </c>
      <c r="C125" t="s">
        <v>222</v>
      </c>
      <c r="D125">
        <v>95</v>
      </c>
      <c r="E125" t="s">
        <v>169</v>
      </c>
    </row>
    <row r="126" spans="1:5">
      <c r="A126">
        <v>24</v>
      </c>
      <c r="B126" t="s">
        <v>78</v>
      </c>
      <c r="C126" t="s">
        <v>223</v>
      </c>
      <c r="D126">
        <v>85</v>
      </c>
      <c r="E126" t="s">
        <v>224</v>
      </c>
    </row>
    <row r="127" spans="1:5">
      <c r="A127">
        <v>25</v>
      </c>
      <c r="B127" t="s">
        <v>174</v>
      </c>
      <c r="C127" t="s">
        <v>225</v>
      </c>
      <c r="D127">
        <v>85</v>
      </c>
      <c r="E127" t="s">
        <v>224</v>
      </c>
    </row>
    <row r="130" spans="1:2">
      <c r="A130" s="2" t="s">
        <v>226</v>
      </c>
    </row>
    <row r="131" spans="1:2">
      <c r="A131" t="s">
        <v>66</v>
      </c>
      <c r="B131" t="s">
        <v>210</v>
      </c>
    </row>
    <row r="132" spans="1:2">
      <c r="A132" t="s">
        <v>71</v>
      </c>
      <c r="B132" t="s">
        <v>214</v>
      </c>
    </row>
    <row r="134" spans="1:2">
      <c r="A134" s="2" t="s">
        <v>227</v>
      </c>
    </row>
    <row r="135" spans="1:2">
      <c r="A135" t="s">
        <v>153</v>
      </c>
      <c r="B135" t="s">
        <v>204</v>
      </c>
    </row>
    <row r="136" spans="1:2">
      <c r="A136" t="s">
        <v>158</v>
      </c>
      <c r="B136" t="s">
        <v>209</v>
      </c>
    </row>
    <row r="137" spans="1:2">
      <c r="A137" t="s">
        <v>161</v>
      </c>
      <c r="B137" t="s">
        <v>213</v>
      </c>
    </row>
    <row r="138" spans="1:2">
      <c r="A138" t="s">
        <v>165</v>
      </c>
      <c r="B138" t="s">
        <v>217</v>
      </c>
    </row>
    <row r="139" spans="1:2">
      <c r="A139" t="s">
        <v>169</v>
      </c>
      <c r="B139" t="s">
        <v>222</v>
      </c>
    </row>
    <row r="140" spans="1:2">
      <c r="A140" t="s">
        <v>174</v>
      </c>
      <c r="B140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MD Mustakeen ul Bari</cp:lastModifiedBy>
  <cp:revision/>
  <dcterms:created xsi:type="dcterms:W3CDTF">2026-04-20T20:13:16Z</dcterms:created>
  <dcterms:modified xsi:type="dcterms:W3CDTF">2026-05-04T19:59:39Z</dcterms:modified>
  <cp:category/>
  <cp:contentStatus/>
</cp:coreProperties>
</file>